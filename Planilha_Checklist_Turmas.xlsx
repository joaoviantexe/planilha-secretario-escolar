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Unidade" sheetId="1" state="visible" r:id="rId3"/>
    <sheet name="Turmas" sheetId="2" state="visible" r:id="rId4"/>
    <sheet name="BaseDados" sheetId="3" state="visible" r:id="rId5"/>
    <sheet name="Checklist" sheetId="4" state="visible" r:id="rId6"/>
  </sheets>
  <definedNames>
    <definedName function="false" hidden="false" name="GestorSecretario" vbProcedure="false">Unidade!$B$20:$B$20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<sst xmlns="http://schemas.openxmlformats.org/spreadsheetml/2006/main" count="2908" uniqueCount="144">
  <si>
    <t xml:space="preserve">Identificação da Unidade</t>
  </si>
  <si>
    <t xml:space="preserve">Unidade</t>
  </si>
  <si>
    <t xml:space="preserve">ESCOLA MUNICIPAL RUY DA SILVEIRA BRITTO</t>
  </si>
  <si>
    <t xml:space="preserve">Código INEP/MEC</t>
  </si>
  <si>
    <t xml:space="preserve">Distrito</t>
  </si>
  <si>
    <t xml:space="preserve">DABEL</t>
  </si>
  <si>
    <t xml:space="preserve">Bairro</t>
  </si>
  <si>
    <t xml:space="preserve">Marco</t>
  </si>
  <si>
    <t xml:space="preserve">Rede/Vinculo</t>
  </si>
  <si>
    <t xml:space="preserve">Municipal</t>
  </si>
  <si>
    <t xml:space="preserve">Tipo de Unidade</t>
  </si>
  <si>
    <t xml:space="preserve">Sede</t>
  </si>
  <si>
    <t xml:space="preserve">Endereço da Unidade</t>
  </si>
  <si>
    <t xml:space="preserve">Endereço</t>
  </si>
  <si>
    <t xml:space="preserve">TRAVESSA DOUTOR ENEAS PINHEIRO</t>
  </si>
  <si>
    <t xml:space="preserve">Número</t>
  </si>
  <si>
    <t xml:space="preserve">Complemento</t>
  </si>
  <si>
    <t xml:space="preserve">ENTRE PERIMETRAL E JOAO PAULO II</t>
  </si>
  <si>
    <t xml:space="preserve">CEP</t>
  </si>
  <si>
    <t xml:space="preserve">66095-015</t>
  </si>
  <si>
    <t xml:space="preserve">Zona</t>
  </si>
  <si>
    <t xml:space="preserve">URBANA</t>
  </si>
  <si>
    <t xml:space="preserve">Tipo de Prédio</t>
  </si>
  <si>
    <t xml:space="preserve">MUNICIPAL</t>
  </si>
  <si>
    <t xml:space="preserve">Tipo de Contrato</t>
  </si>
  <si>
    <t xml:space="preserve">PROPRIA</t>
  </si>
  <si>
    <t xml:space="preserve">Telefone</t>
  </si>
  <si>
    <t xml:space="preserve">-</t>
  </si>
  <si>
    <t xml:space="preserve">E-mail</t>
  </si>
  <si>
    <t xml:space="preserve">ruydasilveirabrito@semec.belem.pa.gov.br</t>
  </si>
  <si>
    <t xml:space="preserve">Responsáveis da Unidade</t>
  </si>
  <si>
    <t xml:space="preserve">Diretor</t>
  </si>
  <si>
    <t xml:space="preserve">ROSEANE CONCEIÇÃO COUTO VOGADO</t>
  </si>
  <si>
    <t xml:space="preserve">Secretário</t>
  </si>
  <si>
    <t xml:space="preserve">RONALDO XAVIER DE CARVALHO</t>
  </si>
  <si>
    <t xml:space="preserve">Ano</t>
  </si>
  <si>
    <t xml:space="preserve">Rede</t>
  </si>
  <si>
    <t xml:space="preserve">Código INEP</t>
  </si>
  <si>
    <t xml:space="preserve">Código Unidade</t>
  </si>
  <si>
    <t xml:space="preserve">Ensino</t>
  </si>
  <si>
    <t xml:space="preserve">Série</t>
  </si>
  <si>
    <t xml:space="preserve">Turno</t>
  </si>
  <si>
    <t xml:space="preserve">Turma</t>
  </si>
  <si>
    <t xml:space="preserve">Qt Ocupação Turma</t>
  </si>
  <si>
    <t xml:space="preserve">Qt Alunos Turma</t>
  </si>
  <si>
    <t xml:space="preserve">Qt Aluno Não Especial</t>
  </si>
  <si>
    <t xml:space="preserve">Qt Aluno Especial</t>
  </si>
  <si>
    <t xml:space="preserve">Qt Ocupação Aluno Especial</t>
  </si>
  <si>
    <t xml:space="preserve">Qt Vagas Restantes</t>
  </si>
  <si>
    <t xml:space="preserve">Alunos</t>
  </si>
  <si>
    <t xml:space="preserve">Nome Geral</t>
  </si>
  <si>
    <t xml:space="preserve">MARCO</t>
  </si>
  <si>
    <t xml:space="preserve">ENSINO FUNDAMENTAL</t>
  </si>
  <si>
    <t xml:space="preserve">CICLO IV  -  1º ANO</t>
  </si>
  <si>
    <t xml:space="preserve">TARDE</t>
  </si>
  <si>
    <t xml:space="preserve">C41302</t>
  </si>
  <si>
    <t xml:space="preserve">Relação de Alunos </t>
  </si>
  <si>
    <t xml:space="preserve">C41301</t>
  </si>
  <si>
    <t xml:space="preserve">CICLO III  -  2º ANO</t>
  </si>
  <si>
    <t xml:space="preserve">C32302</t>
  </si>
  <si>
    <t xml:space="preserve">C32301</t>
  </si>
  <si>
    <t xml:space="preserve">CICLO III  -  1º ANO</t>
  </si>
  <si>
    <t xml:space="preserve">C31302</t>
  </si>
  <si>
    <t xml:space="preserve">C31301</t>
  </si>
  <si>
    <t xml:space="preserve">CICLO II  -  2º ANO</t>
  </si>
  <si>
    <t xml:space="preserve">MANHÃ</t>
  </si>
  <si>
    <t xml:space="preserve">C22102</t>
  </si>
  <si>
    <t xml:space="preserve">C22101</t>
  </si>
  <si>
    <t xml:space="preserve">CICLO II  -  1º ANO</t>
  </si>
  <si>
    <t xml:space="preserve">C21102</t>
  </si>
  <si>
    <t xml:space="preserve">C21101</t>
  </si>
  <si>
    <t xml:space="preserve">CICLO I  -  3º ANO</t>
  </si>
  <si>
    <t xml:space="preserve">C13102</t>
  </si>
  <si>
    <t xml:space="preserve">C13101</t>
  </si>
  <si>
    <t xml:space="preserve">CICLO I  -  2º ANO</t>
  </si>
  <si>
    <t xml:space="preserve">C12102</t>
  </si>
  <si>
    <t xml:space="preserve">C12101</t>
  </si>
  <si>
    <t xml:space="preserve">CICLO I  -  1º ANO</t>
  </si>
  <si>
    <t xml:space="preserve">C11102</t>
  </si>
  <si>
    <t xml:space="preserve">C11101</t>
  </si>
  <si>
    <t xml:space="preserve">CICLO IV  -  2º ANO</t>
  </si>
  <si>
    <t xml:space="preserve">C42302</t>
  </si>
  <si>
    <t xml:space="preserve">C42301</t>
  </si>
  <si>
    <t xml:space="preserve">C41303</t>
  </si>
  <si>
    <t xml:space="preserve">Chave</t>
  </si>
  <si>
    <t xml:space="preserve">Nº Item</t>
  </si>
  <si>
    <t xml:space="preserve">Seção</t>
  </si>
  <si>
    <t xml:space="preserve">Documento</t>
  </si>
  <si>
    <t xml:space="preserve">Situação</t>
  </si>
  <si>
    <t xml:space="preserve">Última Atualização</t>
  </si>
  <si>
    <t xml:space="preserve">Prazo</t>
  </si>
  <si>
    <t xml:space="preserve">Observação</t>
  </si>
  <si>
    <t xml:space="preserve">Série | Turno</t>
  </si>
  <si>
    <t xml:space="preserve">Documentos Institucionais</t>
  </si>
  <si>
    <t xml:space="preserve">Ato de criação da escola</t>
  </si>
  <si>
    <t xml:space="preserve">Não avaliado</t>
  </si>
  <si>
    <t xml:space="preserve">Recibo do Censo Escolar (Autorização)</t>
  </si>
  <si>
    <t xml:space="preserve">Ato de autorização, credenciamento ou reconhecimento</t>
  </si>
  <si>
    <t xml:space="preserve">Regimento Escolar atualizado</t>
  </si>
  <si>
    <t xml:space="preserve">Projeto Político-Pedagógico (PPP)</t>
  </si>
  <si>
    <t xml:space="preserve">Calendário Escolar vigente</t>
  </si>
  <si>
    <t xml:space="preserve">Matriz curricular, inclusive cursos técnicos</t>
  </si>
  <si>
    <t xml:space="preserve">Documentos de Secretaria Escolar</t>
  </si>
  <si>
    <t xml:space="preserve">Livro/Pasta de Matrícula dos Alunos</t>
  </si>
  <si>
    <t xml:space="preserve">Livro de Atas — resultados finais, Conselho de Classe, reuniões e outros</t>
  </si>
  <si>
    <t xml:space="preserve">Livro de Registro de Diplomas e Certificados, quando aplicável</t>
  </si>
  <si>
    <t xml:space="preserve">Protocolos de entrada e saída de documentos</t>
  </si>
  <si>
    <t xml:space="preserve">Arquivo ativo e arquivo permanente organizados</t>
  </si>
  <si>
    <t xml:space="preserve">Relação nominal dos estudantes</t>
  </si>
  <si>
    <t xml:space="preserve">Correspondências Oficiais</t>
  </si>
  <si>
    <t xml:space="preserve">Inventário</t>
  </si>
  <si>
    <t xml:space="preserve">Documentos dos Alunos</t>
  </si>
  <si>
    <t xml:space="preserve">Fichas de matrícula impressas pelo SIGA e assinadas pelo responsável</t>
  </si>
  <si>
    <t xml:space="preserve">Histórico Escolar</t>
  </si>
  <si>
    <t xml:space="preserve">Pasta Individual</t>
  </si>
  <si>
    <t xml:space="preserve">Registro Síntese</t>
  </si>
  <si>
    <t xml:space="preserve">Declarações de transferência emitidas pelo SIGA</t>
  </si>
  <si>
    <t xml:space="preserve">Certificados e declarações emitidos</t>
  </si>
  <si>
    <t xml:space="preserve">Documentos pessoais do aluno e do responsável</t>
  </si>
  <si>
    <t xml:space="preserve">Ficha de Cancelamento/Transferência de Matrícula</t>
  </si>
  <si>
    <t xml:space="preserve">Controle de frequência no SIGA</t>
  </si>
  <si>
    <t xml:space="preserve">Documentos dos Servidores</t>
  </si>
  <si>
    <t xml:space="preserve">Relação atualizada dos profissionais</t>
  </si>
  <si>
    <t xml:space="preserve">Portarias de lotação ou designação</t>
  </si>
  <si>
    <t xml:space="preserve">Comprovação da habilitação dos docentes</t>
  </si>
  <si>
    <t xml:space="preserve">Controle de frequência dos servidores</t>
  </si>
  <si>
    <t xml:space="preserve">Afastamentos dos servidores — licenças e documentos médicos</t>
  </si>
  <si>
    <t xml:space="preserve">Documentos dos Administrativos</t>
  </si>
  <si>
    <t xml:space="preserve">Censo Escolar</t>
  </si>
  <si>
    <t xml:space="preserve">Relatórios estatísticos</t>
  </si>
  <si>
    <t xml:space="preserve">Correspondências oficiais</t>
  </si>
  <si>
    <t xml:space="preserve">Livros de protocolo</t>
  </si>
  <si>
    <t xml:space="preserve">CICLO II  -  1º ANO | MANHÃ | C21101</t>
  </si>
  <si>
    <t xml:space="preserve">Código da turma selecionada (auxiliar)</t>
  </si>
  <si>
    <t xml:space="preserve">Checagem de Documentos Institucionais</t>
  </si>
  <si>
    <t xml:space="preserve">Ultima Atualização</t>
  </si>
  <si>
    <t xml:space="preserve">Responsável</t>
  </si>
  <si>
    <t xml:space="preserve">Fulano</t>
  </si>
  <si>
    <t xml:space="preserve">Checagem de Documentos de Secretaria Escolar</t>
  </si>
  <si>
    <t xml:space="preserve">Gestor/Secretário</t>
  </si>
  <si>
    <t xml:space="preserve">Checagem de Documentos dos Alunos</t>
  </si>
  <si>
    <t xml:space="preserve">Checagem de Documentos dos Servidores</t>
  </si>
  <si>
    <t xml:space="preserve">Checagem de Documentos dos Administrativos</t>
  </si>
  <si>
    <t xml:space="preserve">Selecione a turma na célula A1. Para alterar Situação, Última Atualização, Prazo ou Observação, edite na aba BaseDados (filtre a coluna Turma).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</si>
</sst>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u val="single"/>
      <sz val="10"/>
      <color theme="10"/>
      <name val="Calibri"/>
      <family val="2"/>
      <charset val="1"/>
    </font>
    <font>
      <sz val="10"/>
      <name val="Calibri"/>
      <family val="0"/>
      <charset val="1"/>
    </font>
    <font>
      <b val="true"/>
      <sz val="16"/>
      <color theme="0"/>
      <name val="Calibri"/>
      <family val="2"/>
      <charset val="1"/>
    </font>
    <font>
      <i val="true"/>
      <sz val="9"/>
      <color rgb="FF595959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0563C1"/>
      </patternFill>
    </fill>
    <fill>
      <patternFill patternType="solid">
        <fgColor theme="0"/>
        <bgColor rgb="FFFFFFCC"/>
      </patternFill>
    </fill>
    <fill>
      <patternFill patternType="solid">
        <fgColor theme="0" tint="-0.15"/>
        <bgColor rgb="FFC6EFCE"/>
      </patternFill>
    </fill>
    <fill>
      <patternFill patternType="solid">
        <fgColor rgb="FF00B050"/>
        <bgColor rgb="FF00808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dxfs count="10">
    <dxf>
      <fill>
        <patternFill patternType="solid">
          <fgColor rgb="FF4472C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1"/>
        <color rgb="FFFFFFFF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6EFCE"/>
        </patternFill>
      </fill>
    </dxf>
    <dxf>
      <font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1:U20" headerRowCount="1" totalsRowCount="0" totalsRowShown="0">
  <autoFilter ref="A1:U20"/>
  <tableColumns count="21">
    <tableColumn id="1" name="Ano"/>
    <tableColumn id="2" name="Distrito"/>
    <tableColumn id="3" name="Zona"/>
    <tableColumn id="4" name="Bairro"/>
    <tableColumn id="5" name="Tipo de Contrato"/>
    <tableColumn id="6" name="Rede"/>
    <tableColumn id="7" name="Código INEP"/>
    <tableColumn id="8" name="Código Unidade"/>
    <tableColumn id="9" name="Unidade"/>
    <tableColumn id="10" name="Ensino"/>
    <tableColumn id="11" name="Série"/>
    <tableColumn id="12" name="Turno"/>
    <tableColumn id="13" name="Turma"/>
    <tableColumn id="14" name="Qt Ocupação Turma"/>
    <tableColumn id="15" name="Qt Alunos Turma"/>
    <tableColumn id="16" name="Qt Aluno Não Especial"/>
    <tableColumn id="17" name="Qt Aluno Especial"/>
    <tableColumn id="18" name="Qt Ocupação Aluno Especial"/>
    <tableColumn id="19" name="Qt Vagas Restantes"/>
    <tableColumn id="20" name="Alunos"/>
    <tableColumn id="21" name="Nome Geral"/>
  </tableColumns>
</table>
</file>

<file path=xl/tables/table2.xml><?xml version="1.0" encoding="utf-8"?>
<table xmlns="http://schemas.openxmlformats.org/spreadsheetml/2006/main" id="2" name="TabelaChecklist" displayName="TabelaChecklist" ref="A1:J647" headerRowCount="1" totalsRowCount="0" totalsRowShown="0">
  <autoFilter ref="A1:J647"/>
  <tableColumns count="10">
    <tableColumn id="1" name="Chave"/>
    <tableColumn id="2" name="Turma"/>
    <tableColumn id="3" name="Nº Item"/>
    <tableColumn id="4" name="Seção"/>
    <tableColumn id="5" name="Documento"/>
    <tableColumn id="6" name="Situação"/>
    <tableColumn id="7" name="Última Atualização"/>
    <tableColumn id="8" name="Prazo"/>
    <tableColumn id="9" name="Observação"/>
    <tableColumn id="10" name="Série | Turn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uydasilveirabrito@semec.belem.pa.gov.br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60.71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4" t="s">
        <v>3</v>
      </c>
      <c r="B3" s="5" t="n">
        <v>15040968</v>
      </c>
    </row>
    <row r="4" customFormat="false" ht="15" hidden="false" customHeight="false" outlineLevel="0" collapsed="false">
      <c r="A4" s="2" t="s">
        <v>4</v>
      </c>
      <c r="B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</row>
    <row r="6" customFormat="false" ht="15" hidden="false" customHeight="false" outlineLevel="0" collapsed="false">
      <c r="A6" s="2" t="s">
        <v>8</v>
      </c>
      <c r="B6" s="3" t="s">
        <v>9</v>
      </c>
    </row>
    <row r="7" customFormat="false" ht="15" hidden="false" customHeight="false" outlineLevel="0" collapsed="false">
      <c r="A7" s="4" t="s">
        <v>10</v>
      </c>
      <c r="B7" s="5" t="s">
        <v>11</v>
      </c>
    </row>
    <row r="8" customFormat="false" ht="15" hidden="false" customHeight="false" outlineLevel="0" collapsed="false">
      <c r="A8" s="6" t="s">
        <v>12</v>
      </c>
      <c r="B8" s="6"/>
    </row>
    <row r="9" customFormat="false" ht="15" hidden="false" customHeight="false" outlineLevel="0" collapsed="false">
      <c r="A9" s="7" t="s">
        <v>13</v>
      </c>
      <c r="B9" s="8" t="s">
        <v>14</v>
      </c>
    </row>
    <row r="10" customFormat="false" ht="15" hidden="false" customHeight="false" outlineLevel="0" collapsed="false">
      <c r="A10" s="9" t="s">
        <v>15</v>
      </c>
      <c r="B10" s="10" t="n">
        <v>2871</v>
      </c>
    </row>
    <row r="11" customFormat="false" ht="15" hidden="false" customHeight="false" outlineLevel="0" collapsed="false">
      <c r="A11" s="7" t="s">
        <v>16</v>
      </c>
      <c r="B11" s="8" t="s">
        <v>17</v>
      </c>
    </row>
    <row r="12" customFormat="false" ht="15" hidden="false" customHeight="false" outlineLevel="0" collapsed="false">
      <c r="A12" s="9" t="s">
        <v>18</v>
      </c>
      <c r="B12" s="10" t="s">
        <v>19</v>
      </c>
    </row>
    <row r="13" customFormat="false" ht="15" hidden="false" customHeight="false" outlineLevel="0" collapsed="false">
      <c r="A13" s="7" t="s">
        <v>20</v>
      </c>
      <c r="B13" s="8" t="s">
        <v>21</v>
      </c>
    </row>
    <row r="14" customFormat="false" ht="15" hidden="false" customHeight="false" outlineLevel="0" collapsed="false">
      <c r="A14" s="9" t="s">
        <v>22</v>
      </c>
      <c r="B14" s="10" t="s">
        <v>23</v>
      </c>
    </row>
    <row r="15" customFormat="false" ht="15" hidden="false" customHeight="false" outlineLevel="0" collapsed="false">
      <c r="A15" s="7" t="s">
        <v>24</v>
      </c>
      <c r="B15" s="8" t="s">
        <v>25</v>
      </c>
    </row>
    <row r="16" customFormat="false" ht="15" hidden="false" customHeight="false" outlineLevel="0" collapsed="false">
      <c r="A16" s="9" t="s">
        <v>26</v>
      </c>
      <c r="B16" s="10" t="s">
        <v>27</v>
      </c>
    </row>
    <row r="17" customFormat="false" ht="15" hidden="false" customHeight="false" outlineLevel="0" collapsed="false">
      <c r="A17" s="7" t="s">
        <v>28</v>
      </c>
      <c r="B17" s="11" t="s">
        <v>29</v>
      </c>
    </row>
    <row r="18" customFormat="false" ht="15" hidden="false" customHeight="false" outlineLevel="0" collapsed="false">
      <c r="A18" s="1" t="s">
        <v>30</v>
      </c>
      <c r="B18" s="1"/>
    </row>
    <row r="19" s="14" customFormat="true" ht="15" hidden="false" customHeight="true" outlineLevel="0" collapsed="false">
      <c r="A19" s="12" t="s">
        <v>31</v>
      </c>
      <c r="B19" s="13" t="s">
        <v>32</v>
      </c>
    </row>
    <row r="20" customFormat="false" ht="15" hidden="false" customHeight="false" outlineLevel="0" collapsed="false">
      <c r="A20" s="15" t="s">
        <v>33</v>
      </c>
      <c r="B20" s="16" t="s">
        <v>34</v>
      </c>
    </row>
  </sheetData>
  <mergeCells count="3">
    <mergeCell ref="A1:B1"/>
    <mergeCell ref="A8:B8"/>
    <mergeCell ref="A18:B18"/>
  </mergeCells>
  <hyperlinks>
    <hyperlink ref="B17" r:id="rId1" display="ruydasilveirabrito@semec.belem.pa.gov.b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U2" activeCellId="0" sqref="U2"/>
    </sheetView>
  </sheetViews>
  <sheetFormatPr defaultColWidth="9.1484375" defaultRowHeight="15" zeroHeight="false" outlineLevelRow="0" outlineLevelCol="0"/>
  <cols>
    <col collapsed="false" customWidth="true" hidden="false" outlineLevel="0" max="4" min="1" style="0" width="10.71"/>
    <col collapsed="false" customWidth="true" hidden="false" outlineLevel="0" max="8" min="5" style="0" width="20.71"/>
    <col collapsed="false" customWidth="true" hidden="false" outlineLevel="0" max="9" min="9" style="0" width="50.71"/>
    <col collapsed="false" customWidth="true" hidden="false" outlineLevel="0" max="10" min="10" style="0" width="25.71"/>
    <col collapsed="false" customWidth="true" hidden="false" outlineLevel="0" max="15" min="11" style="0" width="20.71"/>
    <col collapsed="false" customWidth="true" hidden="false" outlineLevel="0" max="16" min="16" style="0" width="20.85"/>
    <col collapsed="false" customWidth="true" hidden="false" outlineLevel="0" max="17" min="17" style="0" width="20.71"/>
    <col collapsed="false" customWidth="true" hidden="false" outlineLevel="0" max="18" min="18" style="0" width="30.71"/>
    <col collapsed="false" customWidth="true" hidden="false" outlineLevel="0" max="20" min="19" style="0" width="20.71"/>
    <col collapsed="false" customWidth="true" hidden="false" outlineLevel="0" max="21" min="21" style="0" width="50.71"/>
  </cols>
  <sheetData>
    <row r="1" customFormat="false" ht="15" hidden="false" customHeight="false" outlineLevel="0" collapsed="false">
      <c r="A1" s="17" t="s">
        <v>35</v>
      </c>
      <c r="B1" s="18" t="s">
        <v>4</v>
      </c>
      <c r="C1" s="18" t="s">
        <v>20</v>
      </c>
      <c r="D1" s="18" t="s">
        <v>6</v>
      </c>
      <c r="E1" s="18" t="s">
        <v>24</v>
      </c>
      <c r="F1" s="18" t="s">
        <v>36</v>
      </c>
      <c r="G1" s="18" t="s">
        <v>37</v>
      </c>
      <c r="H1" s="18" t="s">
        <v>38</v>
      </c>
      <c r="I1" s="18" t="s">
        <v>1</v>
      </c>
      <c r="J1" s="18" t="s">
        <v>39</v>
      </c>
      <c r="K1" s="18" t="s">
        <v>40</v>
      </c>
      <c r="L1" s="18" t="s">
        <v>41</v>
      </c>
      <c r="M1" s="18" t="s">
        <v>42</v>
      </c>
      <c r="N1" s="18" t="s">
        <v>43</v>
      </c>
      <c r="O1" s="18" t="s">
        <v>44</v>
      </c>
      <c r="P1" s="18" t="s">
        <v>45</v>
      </c>
      <c r="Q1" s="18" t="s">
        <v>46</v>
      </c>
      <c r="R1" s="18" t="s">
        <v>47</v>
      </c>
      <c r="S1" s="18" t="s">
        <v>48</v>
      </c>
      <c r="T1" s="18" t="s">
        <v>49</v>
      </c>
      <c r="U1" s="19" t="s">
        <v>50</v>
      </c>
    </row>
    <row r="2" customFormat="false" ht="15" hidden="false" customHeight="false" outlineLevel="0" collapsed="false">
      <c r="A2" s="20" t="n">
        <v>2026</v>
      </c>
      <c r="B2" s="13" t="s">
        <v>5</v>
      </c>
      <c r="C2" s="13" t="s">
        <v>21</v>
      </c>
      <c r="D2" s="13" t="s">
        <v>51</v>
      </c>
      <c r="E2" s="13"/>
      <c r="F2" s="13" t="s">
        <v>23</v>
      </c>
      <c r="G2" s="13" t="n">
        <v>15040968</v>
      </c>
      <c r="H2" s="13" t="n">
        <v>36</v>
      </c>
      <c r="I2" s="13" t="s">
        <v>2</v>
      </c>
      <c r="J2" s="13" t="s">
        <v>52</v>
      </c>
      <c r="K2" s="13" t="s">
        <v>53</v>
      </c>
      <c r="L2" s="13" t="s">
        <v>54</v>
      </c>
      <c r="M2" s="13" t="s">
        <v>55</v>
      </c>
      <c r="N2" s="13" t="n">
        <v>30</v>
      </c>
      <c r="O2" s="13" t="n">
        <v>22</v>
      </c>
      <c r="P2" s="13" t="n">
        <v>22</v>
      </c>
      <c r="Q2" s="13" t="n">
        <v>0</v>
      </c>
      <c r="R2" s="13" t="n">
        <v>0</v>
      </c>
      <c r="S2" s="13" t="n">
        <v>8</v>
      </c>
      <c r="T2" s="13" t="s">
        <v>56</v>
      </c>
      <c r="U2" s="21" t="str">
        <f aca="false">K2&amp;" | "&amp;L2&amp;" | "&amp;M2&amp;" / "&amp;(COUNTIFS(BaseDados!$B:$B,M2,BaseDados!$F:$F,"Não conforme")+COUNTIFS(BaseDados!$B:$B,M2,BaseDados!$F:$F,"Não avaliado"))&amp;" itens pendentes"</f>
        <v>CICLO IV  -  1º ANO | TARDE | C41302 / 34 itens pendentes</v>
      </c>
    </row>
    <row r="3" customFormat="false" ht="15" hidden="false" customHeight="false" outlineLevel="0" collapsed="false">
      <c r="A3" s="22" t="n">
        <v>2026</v>
      </c>
      <c r="B3" s="16" t="s">
        <v>5</v>
      </c>
      <c r="C3" s="16" t="s">
        <v>21</v>
      </c>
      <c r="D3" s="16" t="s">
        <v>51</v>
      </c>
      <c r="E3" s="16"/>
      <c r="F3" s="16" t="s">
        <v>23</v>
      </c>
      <c r="G3" s="16" t="n">
        <v>15040968</v>
      </c>
      <c r="H3" s="16" t="n">
        <v>36</v>
      </c>
      <c r="I3" s="16" t="s">
        <v>2</v>
      </c>
      <c r="J3" s="16" t="s">
        <v>52</v>
      </c>
      <c r="K3" s="16" t="s">
        <v>53</v>
      </c>
      <c r="L3" s="16" t="s">
        <v>54</v>
      </c>
      <c r="M3" s="16" t="s">
        <v>57</v>
      </c>
      <c r="N3" s="16" t="n">
        <v>30</v>
      </c>
      <c r="O3" s="16" t="n">
        <v>21</v>
      </c>
      <c r="P3" s="16" t="n">
        <v>20</v>
      </c>
      <c r="Q3" s="16" t="n">
        <v>1</v>
      </c>
      <c r="R3" s="16" t="n">
        <v>1</v>
      </c>
      <c r="S3" s="16" t="n">
        <v>9</v>
      </c>
      <c r="T3" s="16" t="s">
        <v>56</v>
      </c>
      <c r="U3" s="23" t="str">
        <f aca="false">K3&amp;" | "&amp;L3&amp;" | "&amp;M3&amp;" / "&amp;(COUNTIFS(BaseDados!$B:$B,M3,BaseDados!$F:$F,"Não conforme")+COUNTIFS(BaseDados!$B:$B,M3,BaseDados!$F:$F,"Não avaliado"))&amp;" itens pendentes"</f>
        <v>CICLO IV  -  1º ANO | TARDE | C41301 / 34 itens pendentes</v>
      </c>
    </row>
    <row r="4" customFormat="false" ht="15" hidden="false" customHeight="false" outlineLevel="0" collapsed="false">
      <c r="A4" s="20" t="n">
        <v>2026</v>
      </c>
      <c r="B4" s="13" t="s">
        <v>5</v>
      </c>
      <c r="C4" s="13" t="s">
        <v>21</v>
      </c>
      <c r="D4" s="13" t="s">
        <v>51</v>
      </c>
      <c r="E4" s="13"/>
      <c r="F4" s="13" t="s">
        <v>23</v>
      </c>
      <c r="G4" s="13" t="n">
        <v>15040968</v>
      </c>
      <c r="H4" s="13" t="n">
        <v>36</v>
      </c>
      <c r="I4" s="13" t="s">
        <v>2</v>
      </c>
      <c r="J4" s="13" t="s">
        <v>52</v>
      </c>
      <c r="K4" s="13" t="s">
        <v>58</v>
      </c>
      <c r="L4" s="13" t="s">
        <v>54</v>
      </c>
      <c r="M4" s="13" t="s">
        <v>59</v>
      </c>
      <c r="N4" s="13" t="n">
        <v>30</v>
      </c>
      <c r="O4" s="13" t="n">
        <v>28</v>
      </c>
      <c r="P4" s="13" t="n">
        <v>25</v>
      </c>
      <c r="Q4" s="13" t="n">
        <v>3</v>
      </c>
      <c r="R4" s="13" t="n">
        <v>3</v>
      </c>
      <c r="S4" s="13" t="n">
        <v>2</v>
      </c>
      <c r="T4" s="13" t="s">
        <v>56</v>
      </c>
      <c r="U4" s="21" t="str">
        <f aca="false">K4&amp;" | "&amp;L4&amp;" | "&amp;M4&amp;" / "&amp;(COUNTIFS(BaseDados!$B:$B,M4,BaseDados!$F:$F,"Não conforme")+COUNTIFS(BaseDados!$B:$B,M4,BaseDados!$F:$F,"Não avaliado"))&amp;" itens pendentes"</f>
        <v>CICLO III  -  2º ANO | TARDE | C32302 / 34 itens pendentes</v>
      </c>
    </row>
    <row r="5" customFormat="false" ht="15" hidden="false" customHeight="false" outlineLevel="0" collapsed="false">
      <c r="A5" s="22" t="n">
        <v>2026</v>
      </c>
      <c r="B5" s="16" t="s">
        <v>5</v>
      </c>
      <c r="C5" s="16" t="s">
        <v>21</v>
      </c>
      <c r="D5" s="16" t="s">
        <v>51</v>
      </c>
      <c r="E5" s="16"/>
      <c r="F5" s="16" t="s">
        <v>23</v>
      </c>
      <c r="G5" s="16" t="n">
        <v>15040968</v>
      </c>
      <c r="H5" s="16" t="n">
        <v>36</v>
      </c>
      <c r="I5" s="16" t="s">
        <v>2</v>
      </c>
      <c r="J5" s="16" t="s">
        <v>52</v>
      </c>
      <c r="K5" s="16" t="s">
        <v>58</v>
      </c>
      <c r="L5" s="16" t="s">
        <v>54</v>
      </c>
      <c r="M5" s="16" t="s">
        <v>60</v>
      </c>
      <c r="N5" s="16" t="n">
        <v>30</v>
      </c>
      <c r="O5" s="16" t="n">
        <v>27</v>
      </c>
      <c r="P5" s="16" t="n">
        <v>24</v>
      </c>
      <c r="Q5" s="16" t="n">
        <v>3</v>
      </c>
      <c r="R5" s="16" t="n">
        <v>3</v>
      </c>
      <c r="S5" s="16" t="n">
        <v>3</v>
      </c>
      <c r="T5" s="16" t="s">
        <v>56</v>
      </c>
      <c r="U5" s="23" t="str">
        <f aca="false">K5&amp;" | "&amp;L5&amp;" | "&amp;M5&amp;" / "&amp;(COUNTIFS(BaseDados!$B:$B,M5,BaseDados!$F:$F,"Não conforme")+COUNTIFS(BaseDados!$B:$B,M5,BaseDados!$F:$F,"Não avaliado"))&amp;" itens pendentes"</f>
        <v>CICLO III  -  2º ANO | TARDE | C32301 / 34 itens pendentes</v>
      </c>
    </row>
    <row r="6" customFormat="false" ht="15" hidden="false" customHeight="false" outlineLevel="0" collapsed="false">
      <c r="A6" s="20" t="n">
        <v>2026</v>
      </c>
      <c r="B6" s="13" t="s">
        <v>5</v>
      </c>
      <c r="C6" s="13" t="s">
        <v>21</v>
      </c>
      <c r="D6" s="13" t="s">
        <v>51</v>
      </c>
      <c r="E6" s="13"/>
      <c r="F6" s="13" t="s">
        <v>23</v>
      </c>
      <c r="G6" s="13" t="n">
        <v>15040968</v>
      </c>
      <c r="H6" s="13" t="n">
        <v>36</v>
      </c>
      <c r="I6" s="13" t="s">
        <v>2</v>
      </c>
      <c r="J6" s="13" t="s">
        <v>52</v>
      </c>
      <c r="K6" s="13" t="s">
        <v>61</v>
      </c>
      <c r="L6" s="13" t="s">
        <v>54</v>
      </c>
      <c r="M6" s="13" t="s">
        <v>62</v>
      </c>
      <c r="N6" s="13" t="n">
        <v>30</v>
      </c>
      <c r="O6" s="13" t="n">
        <v>26</v>
      </c>
      <c r="P6" s="13" t="n">
        <v>23</v>
      </c>
      <c r="Q6" s="13" t="n">
        <v>3</v>
      </c>
      <c r="R6" s="13" t="n">
        <v>3</v>
      </c>
      <c r="S6" s="13" t="n">
        <v>4</v>
      </c>
      <c r="T6" s="13" t="s">
        <v>56</v>
      </c>
      <c r="U6" s="21" t="str">
        <f aca="false">K6&amp;" | "&amp;L6&amp;" | "&amp;M6&amp;" / "&amp;(COUNTIFS(BaseDados!$B:$B,M6,BaseDados!$F:$F,"Não conforme")+COUNTIFS(BaseDados!$B:$B,M6,BaseDados!$F:$F,"Não avaliado"))&amp;" itens pendentes"</f>
        <v>CICLO III  -  1º ANO | TARDE | C31302 / 34 itens pendentes</v>
      </c>
    </row>
    <row r="7" customFormat="false" ht="15" hidden="false" customHeight="false" outlineLevel="0" collapsed="false">
      <c r="A7" s="22" t="n">
        <v>2026</v>
      </c>
      <c r="B7" s="16" t="s">
        <v>5</v>
      </c>
      <c r="C7" s="16" t="s">
        <v>21</v>
      </c>
      <c r="D7" s="16" t="s">
        <v>51</v>
      </c>
      <c r="E7" s="16"/>
      <c r="F7" s="16" t="s">
        <v>23</v>
      </c>
      <c r="G7" s="16" t="n">
        <v>15040968</v>
      </c>
      <c r="H7" s="16" t="n">
        <v>36</v>
      </c>
      <c r="I7" s="16" t="s">
        <v>2</v>
      </c>
      <c r="J7" s="16" t="s">
        <v>52</v>
      </c>
      <c r="K7" s="16" t="s">
        <v>61</v>
      </c>
      <c r="L7" s="16" t="s">
        <v>54</v>
      </c>
      <c r="M7" s="16" t="s">
        <v>63</v>
      </c>
      <c r="N7" s="16" t="n">
        <v>30</v>
      </c>
      <c r="O7" s="16" t="n">
        <v>22</v>
      </c>
      <c r="P7" s="16" t="n">
        <v>20</v>
      </c>
      <c r="Q7" s="16" t="n">
        <v>2</v>
      </c>
      <c r="R7" s="16" t="n">
        <v>2</v>
      </c>
      <c r="S7" s="16" t="n">
        <v>8</v>
      </c>
      <c r="T7" s="16" t="s">
        <v>56</v>
      </c>
      <c r="U7" s="23" t="str">
        <f aca="false">K7&amp;" | "&amp;L7&amp;" | "&amp;M7&amp;" / "&amp;(COUNTIFS(BaseDados!$B:$B,M7,BaseDados!$F:$F,"Não conforme")+COUNTIFS(BaseDados!$B:$B,M7,BaseDados!$F:$F,"Não avaliado"))&amp;" itens pendentes"</f>
        <v>CICLO III  -  1º ANO | TARDE | C31301 / 34 itens pendentes</v>
      </c>
    </row>
    <row r="8" customFormat="false" ht="15" hidden="false" customHeight="false" outlineLevel="0" collapsed="false">
      <c r="A8" s="20" t="n">
        <v>2026</v>
      </c>
      <c r="B8" s="13" t="s">
        <v>5</v>
      </c>
      <c r="C8" s="13" t="s">
        <v>21</v>
      </c>
      <c r="D8" s="13" t="s">
        <v>51</v>
      </c>
      <c r="E8" s="13"/>
      <c r="F8" s="13" t="s">
        <v>23</v>
      </c>
      <c r="G8" s="13" t="n">
        <v>15040968</v>
      </c>
      <c r="H8" s="13" t="n">
        <v>36</v>
      </c>
      <c r="I8" s="13" t="s">
        <v>2</v>
      </c>
      <c r="J8" s="13" t="s">
        <v>52</v>
      </c>
      <c r="K8" s="13" t="s">
        <v>64</v>
      </c>
      <c r="L8" s="13" t="s">
        <v>65</v>
      </c>
      <c r="M8" s="13" t="s">
        <v>66</v>
      </c>
      <c r="N8" s="13" t="n">
        <v>30</v>
      </c>
      <c r="O8" s="13" t="n">
        <v>28</v>
      </c>
      <c r="P8" s="13" t="n">
        <v>25</v>
      </c>
      <c r="Q8" s="13" t="n">
        <v>3</v>
      </c>
      <c r="R8" s="13" t="n">
        <v>3</v>
      </c>
      <c r="S8" s="13" t="n">
        <v>2</v>
      </c>
      <c r="T8" s="13" t="s">
        <v>56</v>
      </c>
      <c r="U8" s="21" t="str">
        <f aca="false">K8&amp;" | "&amp;L8&amp;" | "&amp;M8&amp;" / "&amp;(COUNTIFS(BaseDados!$B:$B,M8,BaseDados!$F:$F,"Não conforme")+COUNTIFS(BaseDados!$B:$B,M8,BaseDados!$F:$F,"Não avaliado"))&amp;" itens pendentes"</f>
        <v>CICLO II  -  2º ANO | MANHÃ | C22102 / 34 itens pendentes</v>
      </c>
    </row>
    <row r="9" customFormat="false" ht="15" hidden="false" customHeight="false" outlineLevel="0" collapsed="false">
      <c r="A9" s="22" t="n">
        <v>2026</v>
      </c>
      <c r="B9" s="16" t="s">
        <v>5</v>
      </c>
      <c r="C9" s="16" t="s">
        <v>21</v>
      </c>
      <c r="D9" s="16" t="s">
        <v>51</v>
      </c>
      <c r="E9" s="16"/>
      <c r="F9" s="16" t="s">
        <v>23</v>
      </c>
      <c r="G9" s="16" t="n">
        <v>15040968</v>
      </c>
      <c r="H9" s="16" t="n">
        <v>36</v>
      </c>
      <c r="I9" s="16" t="s">
        <v>2</v>
      </c>
      <c r="J9" s="16" t="s">
        <v>52</v>
      </c>
      <c r="K9" s="16" t="s">
        <v>64</v>
      </c>
      <c r="L9" s="16" t="s">
        <v>65</v>
      </c>
      <c r="M9" s="16" t="s">
        <v>67</v>
      </c>
      <c r="N9" s="16" t="n">
        <v>30</v>
      </c>
      <c r="O9" s="16" t="n">
        <v>28</v>
      </c>
      <c r="P9" s="16" t="n">
        <v>27</v>
      </c>
      <c r="Q9" s="16" t="n">
        <v>1</v>
      </c>
      <c r="R9" s="16" t="n">
        <v>1</v>
      </c>
      <c r="S9" s="16" t="n">
        <v>2</v>
      </c>
      <c r="T9" s="16" t="s">
        <v>56</v>
      </c>
      <c r="U9" s="23" t="str">
        <f aca="false">K9&amp;" | "&amp;L9&amp;" | "&amp;M9&amp;" / "&amp;(COUNTIFS(BaseDados!$B:$B,M9,BaseDados!$F:$F,"Não conforme")+COUNTIFS(BaseDados!$B:$B,M9,BaseDados!$F:$F,"Não avaliado"))&amp;" itens pendentes"</f>
        <v>CICLO II  -  2º ANO | MANHÃ | C22101 / 34 itens pendentes</v>
      </c>
    </row>
    <row r="10" customFormat="false" ht="15" hidden="false" customHeight="false" outlineLevel="0" collapsed="false">
      <c r="A10" s="20" t="n">
        <v>2026</v>
      </c>
      <c r="B10" s="13" t="s">
        <v>5</v>
      </c>
      <c r="C10" s="13" t="s">
        <v>21</v>
      </c>
      <c r="D10" s="13" t="s">
        <v>51</v>
      </c>
      <c r="E10" s="13"/>
      <c r="F10" s="13" t="s">
        <v>23</v>
      </c>
      <c r="G10" s="13" t="n">
        <v>15040968</v>
      </c>
      <c r="H10" s="13" t="n">
        <v>36</v>
      </c>
      <c r="I10" s="13" t="s">
        <v>2</v>
      </c>
      <c r="J10" s="13" t="s">
        <v>52</v>
      </c>
      <c r="K10" s="13" t="s">
        <v>68</v>
      </c>
      <c r="L10" s="13" t="s">
        <v>65</v>
      </c>
      <c r="M10" s="13" t="s">
        <v>69</v>
      </c>
      <c r="N10" s="13" t="n">
        <v>30</v>
      </c>
      <c r="O10" s="13" t="n">
        <v>25</v>
      </c>
      <c r="P10" s="13" t="n">
        <v>23</v>
      </c>
      <c r="Q10" s="13" t="n">
        <v>2</v>
      </c>
      <c r="R10" s="13" t="n">
        <v>2</v>
      </c>
      <c r="S10" s="13" t="n">
        <v>5</v>
      </c>
      <c r="T10" s="13" t="s">
        <v>56</v>
      </c>
      <c r="U10" s="21" t="str">
        <f aca="false">K10&amp;" | "&amp;L10&amp;" | "&amp;M10&amp;" / "&amp;(COUNTIFS(BaseDados!$B:$B,M10,BaseDados!$F:$F,"Não conforme")+COUNTIFS(BaseDados!$B:$B,M10,BaseDados!$F:$F,"Não avaliado"))&amp;" itens pendentes"</f>
        <v>CICLO II  -  1º ANO | MANHÃ | C21102 / 34 itens pendentes</v>
      </c>
    </row>
    <row r="11" customFormat="false" ht="15" hidden="false" customHeight="false" outlineLevel="0" collapsed="false">
      <c r="A11" s="22" t="n">
        <v>2026</v>
      </c>
      <c r="B11" s="16" t="s">
        <v>5</v>
      </c>
      <c r="C11" s="16" t="s">
        <v>21</v>
      </c>
      <c r="D11" s="16" t="s">
        <v>51</v>
      </c>
      <c r="E11" s="16"/>
      <c r="F11" s="16" t="s">
        <v>23</v>
      </c>
      <c r="G11" s="16" t="n">
        <v>15040968</v>
      </c>
      <c r="H11" s="16" t="n">
        <v>36</v>
      </c>
      <c r="I11" s="16" t="s">
        <v>2</v>
      </c>
      <c r="J11" s="16" t="s">
        <v>52</v>
      </c>
      <c r="K11" s="16" t="s">
        <v>68</v>
      </c>
      <c r="L11" s="16" t="s">
        <v>65</v>
      </c>
      <c r="M11" s="16" t="s">
        <v>70</v>
      </c>
      <c r="N11" s="16" t="n">
        <v>30</v>
      </c>
      <c r="O11" s="16" t="n">
        <v>24</v>
      </c>
      <c r="P11" s="16" t="n">
        <v>21</v>
      </c>
      <c r="Q11" s="16" t="n">
        <v>3</v>
      </c>
      <c r="R11" s="16" t="n">
        <v>3</v>
      </c>
      <c r="S11" s="16" t="n">
        <v>6</v>
      </c>
      <c r="T11" s="16" t="s">
        <v>56</v>
      </c>
      <c r="U11" s="23" t="str">
        <f aca="false">K11&amp;" | "&amp;L11&amp;" | "&amp;M11&amp;" / "&amp;(COUNTIFS(BaseDados!$B:$B,M11,BaseDados!$F:$F,"Não conforme")+COUNTIFS(BaseDados!$B:$B,M11,BaseDados!$F:$F,"Não avaliado"))&amp;" itens pendentes"</f>
        <v>CICLO II  -  1º ANO | MANHÃ | C21101 / 34 itens pendentes</v>
      </c>
    </row>
    <row r="12" customFormat="false" ht="15" hidden="false" customHeight="false" outlineLevel="0" collapsed="false">
      <c r="A12" s="20" t="n">
        <v>2026</v>
      </c>
      <c r="B12" s="13" t="s">
        <v>5</v>
      </c>
      <c r="C12" s="13" t="s">
        <v>21</v>
      </c>
      <c r="D12" s="13" t="s">
        <v>51</v>
      </c>
      <c r="E12" s="13"/>
      <c r="F12" s="13" t="s">
        <v>23</v>
      </c>
      <c r="G12" s="13" t="n">
        <v>15040968</v>
      </c>
      <c r="H12" s="13" t="n">
        <v>36</v>
      </c>
      <c r="I12" s="13" t="s">
        <v>2</v>
      </c>
      <c r="J12" s="13" t="s">
        <v>52</v>
      </c>
      <c r="K12" s="13" t="s">
        <v>71</v>
      </c>
      <c r="L12" s="13" t="s">
        <v>65</v>
      </c>
      <c r="M12" s="13" t="s">
        <v>72</v>
      </c>
      <c r="N12" s="13" t="n">
        <v>30</v>
      </c>
      <c r="O12" s="13" t="n">
        <v>24</v>
      </c>
      <c r="P12" s="13" t="n">
        <v>21</v>
      </c>
      <c r="Q12" s="13" t="n">
        <v>3</v>
      </c>
      <c r="R12" s="13" t="n">
        <v>3</v>
      </c>
      <c r="S12" s="13" t="n">
        <v>6</v>
      </c>
      <c r="T12" s="13" t="s">
        <v>56</v>
      </c>
      <c r="U12" s="21" t="str">
        <f aca="false">K12&amp;" | "&amp;L12&amp;" | "&amp;M12&amp;" / "&amp;(COUNTIFS(BaseDados!$B:$B,M12,BaseDados!$F:$F,"Não conforme")+COUNTIFS(BaseDados!$B:$B,M12,BaseDados!$F:$F,"Não avaliado"))&amp;" itens pendentes"</f>
        <v>CICLO I  -  3º ANO | MANHÃ | C13102 / 34 itens pendentes</v>
      </c>
    </row>
    <row r="13" customFormat="false" ht="15" hidden="false" customHeight="false" outlineLevel="0" collapsed="false">
      <c r="A13" s="22" t="n">
        <v>2026</v>
      </c>
      <c r="B13" s="16" t="s">
        <v>5</v>
      </c>
      <c r="C13" s="16" t="s">
        <v>21</v>
      </c>
      <c r="D13" s="16" t="s">
        <v>51</v>
      </c>
      <c r="E13" s="16"/>
      <c r="F13" s="16" t="s">
        <v>23</v>
      </c>
      <c r="G13" s="16" t="n">
        <v>15040968</v>
      </c>
      <c r="H13" s="16" t="n">
        <v>36</v>
      </c>
      <c r="I13" s="16" t="s">
        <v>2</v>
      </c>
      <c r="J13" s="16" t="s">
        <v>52</v>
      </c>
      <c r="K13" s="16" t="s">
        <v>71</v>
      </c>
      <c r="L13" s="16" t="s">
        <v>65</v>
      </c>
      <c r="M13" s="16" t="s">
        <v>73</v>
      </c>
      <c r="N13" s="16" t="n">
        <v>30</v>
      </c>
      <c r="O13" s="16" t="n">
        <v>25</v>
      </c>
      <c r="P13" s="16" t="n">
        <v>22</v>
      </c>
      <c r="Q13" s="16" t="n">
        <v>3</v>
      </c>
      <c r="R13" s="16" t="n">
        <v>3</v>
      </c>
      <c r="S13" s="16" t="n">
        <v>5</v>
      </c>
      <c r="T13" s="16" t="s">
        <v>56</v>
      </c>
      <c r="U13" s="23" t="str">
        <f aca="false">K13&amp;" | "&amp;L13&amp;" | "&amp;M13&amp;" / "&amp;(COUNTIFS(BaseDados!$B:$B,M13,BaseDados!$F:$F,"Não conforme")+COUNTIFS(BaseDados!$B:$B,M13,BaseDados!$F:$F,"Não avaliado"))&amp;" itens pendentes"</f>
        <v>CICLO I  -  3º ANO | MANHÃ | C13101 / 34 itens pendentes</v>
      </c>
    </row>
    <row r="14" customFormat="false" ht="15" hidden="false" customHeight="false" outlineLevel="0" collapsed="false">
      <c r="A14" s="20" t="n">
        <v>2026</v>
      </c>
      <c r="B14" s="13" t="s">
        <v>5</v>
      </c>
      <c r="C14" s="13" t="s">
        <v>21</v>
      </c>
      <c r="D14" s="13" t="s">
        <v>51</v>
      </c>
      <c r="E14" s="13"/>
      <c r="F14" s="13" t="s">
        <v>23</v>
      </c>
      <c r="G14" s="13" t="n">
        <v>15040968</v>
      </c>
      <c r="H14" s="13" t="n">
        <v>36</v>
      </c>
      <c r="I14" s="13" t="s">
        <v>2</v>
      </c>
      <c r="J14" s="13" t="s">
        <v>52</v>
      </c>
      <c r="K14" s="13" t="s">
        <v>74</v>
      </c>
      <c r="L14" s="13" t="s">
        <v>65</v>
      </c>
      <c r="M14" s="13" t="s">
        <v>75</v>
      </c>
      <c r="N14" s="13" t="n">
        <v>28</v>
      </c>
      <c r="O14" s="13" t="n">
        <v>25</v>
      </c>
      <c r="P14" s="13" t="n">
        <v>20</v>
      </c>
      <c r="Q14" s="13" t="n">
        <v>5</v>
      </c>
      <c r="R14" s="13" t="n">
        <v>5</v>
      </c>
      <c r="S14" s="13" t="n">
        <v>3</v>
      </c>
      <c r="T14" s="13" t="s">
        <v>56</v>
      </c>
      <c r="U14" s="21" t="str">
        <f aca="false">K14&amp;" | "&amp;L14&amp;" | "&amp;M14&amp;" / "&amp;(COUNTIFS(BaseDados!$B:$B,M14,BaseDados!$F:$F,"Não conforme")+COUNTIFS(BaseDados!$B:$B,M14,BaseDados!$F:$F,"Não avaliado"))&amp;" itens pendentes"</f>
        <v>CICLO I  -  2º ANO | MANHÃ | C12102 / 34 itens pendentes</v>
      </c>
    </row>
    <row r="15" customFormat="false" ht="15" hidden="false" customHeight="false" outlineLevel="0" collapsed="false">
      <c r="A15" s="22" t="n">
        <v>2026</v>
      </c>
      <c r="B15" s="16" t="s">
        <v>5</v>
      </c>
      <c r="C15" s="16" t="s">
        <v>21</v>
      </c>
      <c r="D15" s="16" t="s">
        <v>51</v>
      </c>
      <c r="E15" s="16"/>
      <c r="F15" s="16" t="s">
        <v>23</v>
      </c>
      <c r="G15" s="16" t="n">
        <v>15040968</v>
      </c>
      <c r="H15" s="16" t="n">
        <v>36</v>
      </c>
      <c r="I15" s="16" t="s">
        <v>2</v>
      </c>
      <c r="J15" s="16" t="s">
        <v>52</v>
      </c>
      <c r="K15" s="16" t="s">
        <v>74</v>
      </c>
      <c r="L15" s="16" t="s">
        <v>65</v>
      </c>
      <c r="M15" s="16" t="s">
        <v>76</v>
      </c>
      <c r="N15" s="16" t="n">
        <v>28</v>
      </c>
      <c r="O15" s="16" t="n">
        <v>23</v>
      </c>
      <c r="P15" s="16" t="n">
        <v>18</v>
      </c>
      <c r="Q15" s="16" t="n">
        <v>5</v>
      </c>
      <c r="R15" s="16" t="n">
        <v>5</v>
      </c>
      <c r="S15" s="16" t="n">
        <v>5</v>
      </c>
      <c r="T15" s="16" t="s">
        <v>56</v>
      </c>
      <c r="U15" s="23" t="str">
        <f aca="false">K15&amp;" | "&amp;L15&amp;" | "&amp;M15&amp;" / "&amp;(COUNTIFS(BaseDados!$B:$B,M15,BaseDados!$F:$F,"Não conforme")+COUNTIFS(BaseDados!$B:$B,M15,BaseDados!$F:$F,"Não avaliado"))&amp;" itens pendentes"</f>
        <v>CICLO I  -  2º ANO | MANHÃ | C12101 / 34 itens pendentes</v>
      </c>
    </row>
    <row r="16" customFormat="false" ht="15" hidden="false" customHeight="false" outlineLevel="0" collapsed="false">
      <c r="A16" s="20" t="n">
        <v>2026</v>
      </c>
      <c r="B16" s="13" t="s">
        <v>5</v>
      </c>
      <c r="C16" s="13" t="s">
        <v>21</v>
      </c>
      <c r="D16" s="13" t="s">
        <v>51</v>
      </c>
      <c r="E16" s="13"/>
      <c r="F16" s="13" t="s">
        <v>23</v>
      </c>
      <c r="G16" s="13" t="n">
        <v>15040968</v>
      </c>
      <c r="H16" s="13" t="n">
        <v>36</v>
      </c>
      <c r="I16" s="13" t="s">
        <v>2</v>
      </c>
      <c r="J16" s="13" t="s">
        <v>52</v>
      </c>
      <c r="K16" s="13" t="s">
        <v>77</v>
      </c>
      <c r="L16" s="13" t="s">
        <v>65</v>
      </c>
      <c r="M16" s="13" t="s">
        <v>78</v>
      </c>
      <c r="N16" s="13" t="n">
        <v>25</v>
      </c>
      <c r="O16" s="13" t="n">
        <v>21</v>
      </c>
      <c r="P16" s="13" t="n">
        <v>18</v>
      </c>
      <c r="Q16" s="13" t="n">
        <v>3</v>
      </c>
      <c r="R16" s="13" t="n">
        <v>3</v>
      </c>
      <c r="S16" s="13" t="n">
        <v>4</v>
      </c>
      <c r="T16" s="13" t="s">
        <v>56</v>
      </c>
      <c r="U16" s="21" t="str">
        <f aca="false">K16&amp;" | "&amp;L16&amp;" | "&amp;M16&amp;" / "&amp;(COUNTIFS(BaseDados!$B:$B,M16,BaseDados!$F:$F,"Não conforme")+COUNTIFS(BaseDados!$B:$B,M16,BaseDados!$F:$F,"Não avaliado"))&amp;" itens pendentes"</f>
        <v>CICLO I  -  1º ANO | MANHÃ | C11102 / 34 itens pendentes</v>
      </c>
    </row>
    <row r="17" customFormat="false" ht="15" hidden="false" customHeight="false" outlineLevel="0" collapsed="false">
      <c r="A17" s="22" t="n">
        <v>2026</v>
      </c>
      <c r="B17" s="16" t="s">
        <v>5</v>
      </c>
      <c r="C17" s="16" t="s">
        <v>21</v>
      </c>
      <c r="D17" s="16" t="s">
        <v>51</v>
      </c>
      <c r="E17" s="16"/>
      <c r="F17" s="16" t="s">
        <v>23</v>
      </c>
      <c r="G17" s="16" t="n">
        <v>15040968</v>
      </c>
      <c r="H17" s="16" t="n">
        <v>36</v>
      </c>
      <c r="I17" s="16" t="s">
        <v>2</v>
      </c>
      <c r="J17" s="16" t="s">
        <v>52</v>
      </c>
      <c r="K17" s="16" t="s">
        <v>77</v>
      </c>
      <c r="L17" s="16" t="s">
        <v>65</v>
      </c>
      <c r="M17" s="16" t="s">
        <v>79</v>
      </c>
      <c r="N17" s="16" t="n">
        <v>25</v>
      </c>
      <c r="O17" s="16" t="n">
        <v>19</v>
      </c>
      <c r="P17" s="16" t="n">
        <v>15</v>
      </c>
      <c r="Q17" s="16" t="n">
        <v>4</v>
      </c>
      <c r="R17" s="16" t="n">
        <v>4</v>
      </c>
      <c r="S17" s="16" t="n">
        <v>6</v>
      </c>
      <c r="T17" s="16" t="s">
        <v>56</v>
      </c>
      <c r="U17" s="23" t="str">
        <f aca="false">K17&amp;" | "&amp;L17&amp;" | "&amp;M17&amp;" / "&amp;(COUNTIFS(BaseDados!$B:$B,M17,BaseDados!$F:$F,"Não conforme")+COUNTIFS(BaseDados!$B:$B,M17,BaseDados!$F:$F,"Não avaliado"))&amp;" itens pendentes"</f>
        <v>CICLO I  -  1º ANO | MANHÃ | C11101 / 34 itens pendentes</v>
      </c>
    </row>
    <row r="18" customFormat="false" ht="15" hidden="false" customHeight="false" outlineLevel="0" collapsed="false">
      <c r="A18" s="20" t="n">
        <v>2026</v>
      </c>
      <c r="B18" s="13" t="s">
        <v>5</v>
      </c>
      <c r="C18" s="13" t="s">
        <v>21</v>
      </c>
      <c r="D18" s="13" t="s">
        <v>51</v>
      </c>
      <c r="E18" s="13"/>
      <c r="F18" s="13" t="s">
        <v>23</v>
      </c>
      <c r="G18" s="13" t="n">
        <v>15040968</v>
      </c>
      <c r="H18" s="13" t="n">
        <v>36</v>
      </c>
      <c r="I18" s="13" t="s">
        <v>2</v>
      </c>
      <c r="J18" s="13" t="s">
        <v>52</v>
      </c>
      <c r="K18" s="13" t="s">
        <v>80</v>
      </c>
      <c r="L18" s="13" t="s">
        <v>54</v>
      </c>
      <c r="M18" s="13" t="s">
        <v>81</v>
      </c>
      <c r="N18" s="13" t="n">
        <v>30</v>
      </c>
      <c r="O18" s="13" t="n">
        <v>26</v>
      </c>
      <c r="P18" s="13" t="n">
        <v>23</v>
      </c>
      <c r="Q18" s="13" t="n">
        <v>3</v>
      </c>
      <c r="R18" s="13" t="n">
        <v>3</v>
      </c>
      <c r="S18" s="13" t="n">
        <v>4</v>
      </c>
      <c r="T18" s="13" t="s">
        <v>56</v>
      </c>
      <c r="U18" s="21" t="str">
        <f aca="false">K18&amp;" | "&amp;L18&amp;" | "&amp;M18&amp;" / "&amp;(COUNTIFS(BaseDados!$B:$B,M18,BaseDados!$F:$F,"Não conforme")+COUNTIFS(BaseDados!$B:$B,M18,BaseDados!$F:$F,"Não avaliado"))&amp;" itens pendentes"</f>
        <v>CICLO IV  -  2º ANO | TARDE | C42302 / 34 itens pendentes</v>
      </c>
    </row>
    <row r="19" customFormat="false" ht="15" hidden="false" customHeight="false" outlineLevel="0" collapsed="false">
      <c r="A19" s="22" t="n">
        <v>2026</v>
      </c>
      <c r="B19" s="16" t="s">
        <v>5</v>
      </c>
      <c r="C19" s="16" t="s">
        <v>21</v>
      </c>
      <c r="D19" s="16" t="s">
        <v>51</v>
      </c>
      <c r="E19" s="16"/>
      <c r="F19" s="16" t="s">
        <v>23</v>
      </c>
      <c r="G19" s="16" t="n">
        <v>15040968</v>
      </c>
      <c r="H19" s="16" t="n">
        <v>36</v>
      </c>
      <c r="I19" s="16" t="s">
        <v>2</v>
      </c>
      <c r="J19" s="16" t="s">
        <v>52</v>
      </c>
      <c r="K19" s="16" t="s">
        <v>80</v>
      </c>
      <c r="L19" s="16" t="s">
        <v>54</v>
      </c>
      <c r="M19" s="16" t="s">
        <v>82</v>
      </c>
      <c r="N19" s="16" t="n">
        <v>30</v>
      </c>
      <c r="O19" s="16" t="n">
        <v>26</v>
      </c>
      <c r="P19" s="16" t="n">
        <v>24</v>
      </c>
      <c r="Q19" s="16" t="n">
        <v>2</v>
      </c>
      <c r="R19" s="16" t="n">
        <v>2</v>
      </c>
      <c r="S19" s="16" t="n">
        <v>4</v>
      </c>
      <c r="T19" s="16" t="s">
        <v>56</v>
      </c>
      <c r="U19" s="23" t="str">
        <f aca="false">K19&amp;" | "&amp;L19&amp;" | "&amp;M19&amp;" / "&amp;(COUNTIFS(BaseDados!$B:$B,M19,BaseDados!$F:$F,"Não conforme")+COUNTIFS(BaseDados!$B:$B,M19,BaseDados!$F:$F,"Não avaliado"))&amp;" itens pendentes"</f>
        <v>CICLO IV  -  2º ANO | TARDE | C42301 / 34 itens pendentes</v>
      </c>
    </row>
    <row r="20" customFormat="false" ht="15" hidden="false" customHeight="false" outlineLevel="0" collapsed="false">
      <c r="A20" s="24" t="n">
        <v>2026</v>
      </c>
      <c r="B20" s="25" t="s">
        <v>5</v>
      </c>
      <c r="C20" s="25" t="s">
        <v>21</v>
      </c>
      <c r="D20" s="25" t="s">
        <v>51</v>
      </c>
      <c r="E20" s="25"/>
      <c r="F20" s="25" t="s">
        <v>23</v>
      </c>
      <c r="G20" s="25" t="n">
        <v>15040968</v>
      </c>
      <c r="H20" s="25" t="n">
        <v>36</v>
      </c>
      <c r="I20" s="25" t="s">
        <v>2</v>
      </c>
      <c r="J20" s="25" t="s">
        <v>52</v>
      </c>
      <c r="K20" s="25" t="s">
        <v>53</v>
      </c>
      <c r="L20" s="25" t="s">
        <v>54</v>
      </c>
      <c r="M20" s="25" t="s">
        <v>83</v>
      </c>
      <c r="N20" s="25" t="n">
        <v>30</v>
      </c>
      <c r="O20" s="25" t="n">
        <v>22</v>
      </c>
      <c r="P20" s="25" t="n">
        <v>21</v>
      </c>
      <c r="Q20" s="25" t="n">
        <v>1</v>
      </c>
      <c r="R20" s="25" t="n">
        <v>1</v>
      </c>
      <c r="S20" s="25" t="n">
        <v>8</v>
      </c>
      <c r="T20" s="25" t="s">
        <v>56</v>
      </c>
      <c r="U20" s="26" t="str">
        <f aca="false">K20&amp;" | "&amp;L20&amp;" | "&amp;M20&amp;" / "&amp;(COUNTIFS(BaseDados!$B:$B,M20,BaseDados!$F:$F,"Não conforme")+COUNTIFS(BaseDados!$B:$B,M20,BaseDados!$F:$F,"Não avaliado"))&amp;" itens pendentes"</f>
        <v>CICLO IV  -  1º ANO | TARDE | C41303 / 34 itens pendentes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" activeCellId="0" sqref="A2"/>
    </sheetView>
  </sheetViews>
  <sheetFormatPr defaultColWidth="8.6796875" defaultRowHeight="15" zeroHeight="false" outlineLevelRow="0" outlineLevelCol="0"/>
  <cols>
    <col collapsed="false" customWidth="true" hidden="true" outlineLevel="0" max="4" min="1" style="0" width="12"/>
    <col collapsed="false" customWidth="true" hidden="false" outlineLevel="0" max="5" min="5" style="0" width="62"/>
    <col collapsed="false" customWidth="true" hidden="false" outlineLevel="0" max="6" min="6" style="0" width="15"/>
    <col collapsed="false" customWidth="true" hidden="false" outlineLevel="0" max="7" min="7" style="0" width="19"/>
    <col collapsed="false" customWidth="true" hidden="false" outlineLevel="0" max="8" min="8" style="0" width="12"/>
    <col collapsed="false" customWidth="true" hidden="false" outlineLevel="0" max="10" min="9" style="0" width="30"/>
  </cols>
  <sheetData>
    <row r="1" customFormat="false" ht="15" hidden="false" customHeight="false" outlineLevel="0" collapsed="false">
      <c r="A1" s="27" t="s">
        <v>84</v>
      </c>
      <c r="B1" s="27" t="s">
        <v>42</v>
      </c>
      <c r="C1" s="27" t="s">
        <v>85</v>
      </c>
      <c r="D1" s="27" t="s">
        <v>86</v>
      </c>
      <c r="E1" s="27" t="s">
        <v>87</v>
      </c>
      <c r="F1" s="27" t="s">
        <v>88</v>
      </c>
      <c r="G1" s="27" t="s">
        <v>89</v>
      </c>
      <c r="H1" s="27" t="s">
        <v>90</v>
      </c>
      <c r="I1" s="27" t="s">
        <v>91</v>
      </c>
      <c r="J1" s="27" t="s">
        <v>92</v>
      </c>
    </row>
    <row r="2" customFormat="false" ht="15" hidden="false" customHeight="false" outlineLevel="0" collapsed="false">
      <c r="A2" s="28" t="str">
        <f aca="false">B2&amp;"|"&amp;C2</f>
        <v>C41302|1</v>
      </c>
      <c r="B2" s="28" t="s">
        <v>55</v>
      </c>
      <c r="C2" s="28" t="n">
        <v>1</v>
      </c>
      <c r="D2" s="28" t="s">
        <v>93</v>
      </c>
      <c r="E2" s="28" t="s">
        <v>94</v>
      </c>
      <c r="F2" s="28" t="s">
        <v>95</v>
      </c>
      <c r="G2" s="29"/>
      <c r="H2" s="29"/>
      <c r="I2" s="28"/>
      <c r="J2" s="28" t="str">
        <f aca="false">INDEX(Turmas!$K:$K,MATCH(B2,Turmas!$M:$M,0))&amp;" | "&amp;INDEX(Turmas!$L:$L,MATCH(B2,Turmas!$M:$M,0))</f>
        <v>CICLO IV  -  1º ANO | TARDE</v>
      </c>
    </row>
    <row r="3" customFormat="false" ht="15" hidden="false" customHeight="false" outlineLevel="0" collapsed="false">
      <c r="A3" s="28" t="str">
        <f aca="false">B3&amp;"|"&amp;C3</f>
        <v>C41302|2</v>
      </c>
      <c r="B3" s="28" t="s">
        <v>55</v>
      </c>
      <c r="C3" s="28" t="n">
        <v>2</v>
      </c>
      <c r="D3" s="28" t="s">
        <v>93</v>
      </c>
      <c r="E3" s="28" t="s">
        <v>96</v>
      </c>
      <c r="F3" s="28" t="s">
        <v>95</v>
      </c>
      <c r="G3" s="29"/>
      <c r="H3" s="29"/>
      <c r="I3" s="28"/>
      <c r="J3" s="28" t="str">
        <f aca="false">INDEX(Turmas!$K:$K,MATCH(B3,Turmas!$M:$M,0))&amp;" | "&amp;INDEX(Turmas!$L:$L,MATCH(B3,Turmas!$M:$M,0))</f>
        <v>CICLO IV  -  1º ANO | TARDE</v>
      </c>
    </row>
    <row r="4" customFormat="false" ht="15" hidden="false" customHeight="false" outlineLevel="0" collapsed="false">
      <c r="A4" s="28" t="str">
        <f aca="false">B4&amp;"|"&amp;C4</f>
        <v>C41302|3</v>
      </c>
      <c r="B4" s="28" t="s">
        <v>55</v>
      </c>
      <c r="C4" s="28" t="n">
        <v>3</v>
      </c>
      <c r="D4" s="28" t="s">
        <v>93</v>
      </c>
      <c r="E4" s="28" t="s">
        <v>97</v>
      </c>
      <c r="F4" s="28" t="s">
        <v>95</v>
      </c>
      <c r="G4" s="29"/>
      <c r="H4" s="29"/>
      <c r="I4" s="28"/>
      <c r="J4" s="28" t="str">
        <f aca="false">INDEX(Turmas!$K:$K,MATCH(B4,Turmas!$M:$M,0))&amp;" | "&amp;INDEX(Turmas!$L:$L,MATCH(B4,Turmas!$M:$M,0))</f>
        <v>CICLO IV  -  1º ANO | TARDE</v>
      </c>
    </row>
    <row r="5" customFormat="false" ht="15" hidden="false" customHeight="false" outlineLevel="0" collapsed="false">
      <c r="A5" s="28" t="str">
        <f aca="false">B5&amp;"|"&amp;C5</f>
        <v>C41302|4</v>
      </c>
      <c r="B5" s="28" t="s">
        <v>55</v>
      </c>
      <c r="C5" s="28" t="n">
        <v>4</v>
      </c>
      <c r="D5" s="28" t="s">
        <v>93</v>
      </c>
      <c r="E5" s="28" t="s">
        <v>98</v>
      </c>
      <c r="F5" s="28" t="s">
        <v>95</v>
      </c>
      <c r="G5" s="29"/>
      <c r="H5" s="29"/>
      <c r="I5" s="28"/>
      <c r="J5" s="28" t="str">
        <f aca="false">INDEX(Turmas!$K:$K,MATCH(B5,Turmas!$M:$M,0))&amp;" | "&amp;INDEX(Turmas!$L:$L,MATCH(B5,Turmas!$M:$M,0))</f>
        <v>CICLO IV  -  1º ANO | TARDE</v>
      </c>
    </row>
    <row r="6" customFormat="false" ht="15" hidden="false" customHeight="false" outlineLevel="0" collapsed="false">
      <c r="A6" s="28" t="str">
        <f aca="false">B6&amp;"|"&amp;C6</f>
        <v>C41302|5</v>
      </c>
      <c r="B6" s="28" t="s">
        <v>55</v>
      </c>
      <c r="C6" s="28" t="n">
        <v>5</v>
      </c>
      <c r="D6" s="28" t="s">
        <v>93</v>
      </c>
      <c r="E6" s="28" t="s">
        <v>99</v>
      </c>
      <c r="F6" s="28" t="s">
        <v>95</v>
      </c>
      <c r="G6" s="29"/>
      <c r="H6" s="29"/>
      <c r="I6" s="28"/>
      <c r="J6" s="28" t="str">
        <f aca="false">INDEX(Turmas!$K:$K,MATCH(B6,Turmas!$M:$M,0))&amp;" | "&amp;INDEX(Turmas!$L:$L,MATCH(B6,Turmas!$M:$M,0))</f>
        <v>CICLO IV  -  1º ANO | TARDE</v>
      </c>
    </row>
    <row r="7" customFormat="false" ht="15" hidden="false" customHeight="false" outlineLevel="0" collapsed="false">
      <c r="A7" s="28" t="str">
        <f aca="false">B7&amp;"|"&amp;C7</f>
        <v>C41302|6</v>
      </c>
      <c r="B7" s="28" t="s">
        <v>55</v>
      </c>
      <c r="C7" s="28" t="n">
        <v>6</v>
      </c>
      <c r="D7" s="28" t="s">
        <v>93</v>
      </c>
      <c r="E7" s="28" t="s">
        <v>100</v>
      </c>
      <c r="F7" s="28" t="s">
        <v>95</v>
      </c>
      <c r="G7" s="29"/>
      <c r="H7" s="29"/>
      <c r="I7" s="28"/>
      <c r="J7" s="28" t="str">
        <f aca="false">INDEX(Turmas!$K:$K,MATCH(B7,Turmas!$M:$M,0))&amp;" | "&amp;INDEX(Turmas!$L:$L,MATCH(B7,Turmas!$M:$M,0))</f>
        <v>CICLO IV  -  1º ANO | TARDE</v>
      </c>
    </row>
    <row r="8" customFormat="false" ht="15" hidden="false" customHeight="false" outlineLevel="0" collapsed="false">
      <c r="A8" s="28" t="str">
        <f aca="false">B8&amp;"|"&amp;C8</f>
        <v>C41302|7</v>
      </c>
      <c r="B8" s="28" t="s">
        <v>55</v>
      </c>
      <c r="C8" s="28" t="n">
        <v>7</v>
      </c>
      <c r="D8" s="28" t="s">
        <v>93</v>
      </c>
      <c r="E8" s="28" t="s">
        <v>101</v>
      </c>
      <c r="F8" s="28" t="s">
        <v>95</v>
      </c>
      <c r="G8" s="29"/>
      <c r="H8" s="29"/>
      <c r="I8" s="28"/>
      <c r="J8" s="28" t="str">
        <f aca="false">INDEX(Turmas!$K:$K,MATCH(B8,Turmas!$M:$M,0))&amp;" | "&amp;INDEX(Turmas!$L:$L,MATCH(B8,Turmas!$M:$M,0))</f>
        <v>CICLO IV  -  1º ANO | TARDE</v>
      </c>
    </row>
    <row r="9" customFormat="false" ht="15" hidden="false" customHeight="false" outlineLevel="0" collapsed="false">
      <c r="A9" s="28" t="str">
        <f aca="false">B9&amp;"|"&amp;C9</f>
        <v>C41302|8</v>
      </c>
      <c r="B9" s="28" t="s">
        <v>55</v>
      </c>
      <c r="C9" s="28" t="n">
        <v>8</v>
      </c>
      <c r="D9" s="28" t="s">
        <v>102</v>
      </c>
      <c r="E9" s="28" t="s">
        <v>103</v>
      </c>
      <c r="F9" s="28" t="s">
        <v>95</v>
      </c>
      <c r="G9" s="29"/>
      <c r="H9" s="29"/>
      <c r="I9" s="28"/>
      <c r="J9" s="28" t="str">
        <f aca="false">INDEX(Turmas!$K:$K,MATCH(B9,Turmas!$M:$M,0))&amp;" | "&amp;INDEX(Turmas!$L:$L,MATCH(B9,Turmas!$M:$M,0))</f>
        <v>CICLO IV  -  1º ANO | TARDE</v>
      </c>
    </row>
    <row r="10" customFormat="false" ht="15" hidden="false" customHeight="false" outlineLevel="0" collapsed="false">
      <c r="A10" s="28" t="str">
        <f aca="false">B10&amp;"|"&amp;C10</f>
        <v>C41302|9</v>
      </c>
      <c r="B10" s="28" t="s">
        <v>55</v>
      </c>
      <c r="C10" s="28" t="n">
        <v>9</v>
      </c>
      <c r="D10" s="28" t="s">
        <v>102</v>
      </c>
      <c r="E10" s="28" t="s">
        <v>104</v>
      </c>
      <c r="F10" s="28" t="s">
        <v>95</v>
      </c>
      <c r="G10" s="29"/>
      <c r="H10" s="29"/>
      <c r="I10" s="28"/>
      <c r="J10" s="28" t="str">
        <f aca="false">INDEX(Turmas!$K:$K,MATCH(B10,Turmas!$M:$M,0))&amp;" | "&amp;INDEX(Turmas!$L:$L,MATCH(B10,Turmas!$M:$M,0))</f>
        <v>CICLO IV  -  1º ANO | TARDE</v>
      </c>
    </row>
    <row r="11" customFormat="false" ht="15" hidden="false" customHeight="false" outlineLevel="0" collapsed="false">
      <c r="A11" s="28" t="str">
        <f aca="false">B11&amp;"|"&amp;C11</f>
        <v>C41302|10</v>
      </c>
      <c r="B11" s="28" t="s">
        <v>55</v>
      </c>
      <c r="C11" s="28" t="n">
        <v>10</v>
      </c>
      <c r="D11" s="28" t="s">
        <v>102</v>
      </c>
      <c r="E11" s="28" t="s">
        <v>105</v>
      </c>
      <c r="F11" s="28" t="s">
        <v>95</v>
      </c>
      <c r="G11" s="29"/>
      <c r="H11" s="29"/>
      <c r="I11" s="28"/>
      <c r="J11" s="28" t="str">
        <f aca="false">INDEX(Turmas!$K:$K,MATCH(B11,Turmas!$M:$M,0))&amp;" | "&amp;INDEX(Turmas!$L:$L,MATCH(B11,Turmas!$M:$M,0))</f>
        <v>CICLO IV  -  1º ANO | TARDE</v>
      </c>
    </row>
    <row r="12" customFormat="false" ht="15" hidden="false" customHeight="false" outlineLevel="0" collapsed="false">
      <c r="A12" s="28" t="str">
        <f aca="false">B12&amp;"|"&amp;C12</f>
        <v>C41302|11</v>
      </c>
      <c r="B12" s="28" t="s">
        <v>55</v>
      </c>
      <c r="C12" s="28" t="n">
        <v>11</v>
      </c>
      <c r="D12" s="28" t="s">
        <v>102</v>
      </c>
      <c r="E12" s="28" t="s">
        <v>106</v>
      </c>
      <c r="F12" s="28" t="s">
        <v>95</v>
      </c>
      <c r="G12" s="29"/>
      <c r="H12" s="29"/>
      <c r="I12" s="28"/>
      <c r="J12" s="28" t="str">
        <f aca="false">INDEX(Turmas!$K:$K,MATCH(B12,Turmas!$M:$M,0))&amp;" | "&amp;INDEX(Turmas!$L:$L,MATCH(B12,Turmas!$M:$M,0))</f>
        <v>CICLO IV  -  1º ANO | TARDE</v>
      </c>
    </row>
    <row r="13" customFormat="false" ht="15" hidden="false" customHeight="false" outlineLevel="0" collapsed="false">
      <c r="A13" s="28" t="str">
        <f aca="false">B13&amp;"|"&amp;C13</f>
        <v>C41302|12</v>
      </c>
      <c r="B13" s="28" t="s">
        <v>55</v>
      </c>
      <c r="C13" s="28" t="n">
        <v>12</v>
      </c>
      <c r="D13" s="28" t="s">
        <v>102</v>
      </c>
      <c r="E13" s="28" t="s">
        <v>107</v>
      </c>
      <c r="F13" s="28" t="s">
        <v>95</v>
      </c>
      <c r="G13" s="29"/>
      <c r="H13" s="29"/>
      <c r="I13" s="28"/>
      <c r="J13" s="28" t="str">
        <f aca="false">INDEX(Turmas!$K:$K,MATCH(B13,Turmas!$M:$M,0))&amp;" | "&amp;INDEX(Turmas!$L:$L,MATCH(B13,Turmas!$M:$M,0))</f>
        <v>CICLO IV  -  1º ANO | TARDE</v>
      </c>
    </row>
    <row r="14" customFormat="false" ht="15" hidden="false" customHeight="false" outlineLevel="0" collapsed="false">
      <c r="A14" s="28" t="str">
        <f aca="false">B14&amp;"|"&amp;C14</f>
        <v>C41302|13</v>
      </c>
      <c r="B14" s="28" t="s">
        <v>55</v>
      </c>
      <c r="C14" s="28" t="n">
        <v>13</v>
      </c>
      <c r="D14" s="28" t="s">
        <v>102</v>
      </c>
      <c r="E14" s="28" t="s">
        <v>108</v>
      </c>
      <c r="F14" s="28" t="s">
        <v>95</v>
      </c>
      <c r="G14" s="29"/>
      <c r="H14" s="29"/>
      <c r="I14" s="28"/>
      <c r="J14" s="28" t="str">
        <f aca="false">INDEX(Turmas!$K:$K,MATCH(B14,Turmas!$M:$M,0))&amp;" | "&amp;INDEX(Turmas!$L:$L,MATCH(B14,Turmas!$M:$M,0))</f>
        <v>CICLO IV  -  1º ANO | TARDE</v>
      </c>
    </row>
    <row r="15" customFormat="false" ht="15" hidden="false" customHeight="false" outlineLevel="0" collapsed="false">
      <c r="A15" s="28" t="str">
        <f aca="false">B15&amp;"|"&amp;C15</f>
        <v>C41302|14</v>
      </c>
      <c r="B15" s="28" t="s">
        <v>55</v>
      </c>
      <c r="C15" s="28" t="n">
        <v>14</v>
      </c>
      <c r="D15" s="28" t="s">
        <v>102</v>
      </c>
      <c r="E15" s="28" t="s">
        <v>109</v>
      </c>
      <c r="F15" s="28" t="s">
        <v>95</v>
      </c>
      <c r="G15" s="29"/>
      <c r="H15" s="29"/>
      <c r="I15" s="28"/>
      <c r="J15" s="28" t="str">
        <f aca="false">INDEX(Turmas!$K:$K,MATCH(B15,Turmas!$M:$M,0))&amp;" | "&amp;INDEX(Turmas!$L:$L,MATCH(B15,Turmas!$M:$M,0))</f>
        <v>CICLO IV  -  1º ANO | TARDE</v>
      </c>
    </row>
    <row r="16" customFormat="false" ht="15" hidden="false" customHeight="false" outlineLevel="0" collapsed="false">
      <c r="A16" s="28" t="str">
        <f aca="false">B16&amp;"|"&amp;C16</f>
        <v>C41302|15</v>
      </c>
      <c r="B16" s="28" t="s">
        <v>55</v>
      </c>
      <c r="C16" s="28" t="n">
        <v>15</v>
      </c>
      <c r="D16" s="28" t="s">
        <v>102</v>
      </c>
      <c r="E16" s="28" t="s">
        <v>110</v>
      </c>
      <c r="F16" s="28" t="s">
        <v>95</v>
      </c>
      <c r="G16" s="29"/>
      <c r="H16" s="29"/>
      <c r="I16" s="28"/>
      <c r="J16" s="28" t="str">
        <f aca="false">INDEX(Turmas!$K:$K,MATCH(B16,Turmas!$M:$M,0))&amp;" | "&amp;INDEX(Turmas!$L:$L,MATCH(B16,Turmas!$M:$M,0))</f>
        <v>CICLO IV  -  1º ANO | TARDE</v>
      </c>
    </row>
    <row r="17" customFormat="false" ht="15" hidden="false" customHeight="false" outlineLevel="0" collapsed="false">
      <c r="A17" s="28" t="str">
        <f aca="false">B17&amp;"|"&amp;C17</f>
        <v>C41302|16</v>
      </c>
      <c r="B17" s="28" t="s">
        <v>55</v>
      </c>
      <c r="C17" s="28" t="n">
        <v>16</v>
      </c>
      <c r="D17" s="28" t="s">
        <v>111</v>
      </c>
      <c r="E17" s="28" t="s">
        <v>112</v>
      </c>
      <c r="F17" s="28" t="s">
        <v>95</v>
      </c>
      <c r="G17" s="29"/>
      <c r="H17" s="29"/>
      <c r="I17" s="28"/>
      <c r="J17" s="28" t="str">
        <f aca="false">INDEX(Turmas!$K:$K,MATCH(B17,Turmas!$M:$M,0))&amp;" | "&amp;INDEX(Turmas!$L:$L,MATCH(B17,Turmas!$M:$M,0))</f>
        <v>CICLO IV  -  1º ANO | TARDE</v>
      </c>
    </row>
    <row r="18" customFormat="false" ht="15" hidden="false" customHeight="false" outlineLevel="0" collapsed="false">
      <c r="A18" s="28" t="str">
        <f aca="false">B18&amp;"|"&amp;C18</f>
        <v>C41302|17</v>
      </c>
      <c r="B18" s="28" t="s">
        <v>55</v>
      </c>
      <c r="C18" s="28" t="n">
        <v>17</v>
      </c>
      <c r="D18" s="28" t="s">
        <v>111</v>
      </c>
      <c r="E18" s="28" t="s">
        <v>113</v>
      </c>
      <c r="F18" s="28" t="s">
        <v>95</v>
      </c>
      <c r="G18" s="29"/>
      <c r="H18" s="29"/>
      <c r="I18" s="28"/>
      <c r="J18" s="28" t="str">
        <f aca="false">INDEX(Turmas!$K:$K,MATCH(B18,Turmas!$M:$M,0))&amp;" | "&amp;INDEX(Turmas!$L:$L,MATCH(B18,Turmas!$M:$M,0))</f>
        <v>CICLO IV  -  1º ANO | TARDE</v>
      </c>
    </row>
    <row r="19" customFormat="false" ht="15" hidden="false" customHeight="false" outlineLevel="0" collapsed="false">
      <c r="A19" s="28" t="str">
        <f aca="false">B19&amp;"|"&amp;C19</f>
        <v>C41302|18</v>
      </c>
      <c r="B19" s="28" t="s">
        <v>55</v>
      </c>
      <c r="C19" s="28" t="n">
        <v>18</v>
      </c>
      <c r="D19" s="28" t="s">
        <v>111</v>
      </c>
      <c r="E19" s="28" t="s">
        <v>114</v>
      </c>
      <c r="F19" s="28" t="s">
        <v>95</v>
      </c>
      <c r="G19" s="29"/>
      <c r="H19" s="29"/>
      <c r="I19" s="28"/>
      <c r="J19" s="28" t="str">
        <f aca="false">INDEX(Turmas!$K:$K,MATCH(B19,Turmas!$M:$M,0))&amp;" | "&amp;INDEX(Turmas!$L:$L,MATCH(B19,Turmas!$M:$M,0))</f>
        <v>CICLO IV  -  1º ANO | TARDE</v>
      </c>
    </row>
    <row r="20" customFormat="false" ht="15" hidden="false" customHeight="false" outlineLevel="0" collapsed="false">
      <c r="A20" s="28" t="str">
        <f aca="false">B20&amp;"|"&amp;C20</f>
        <v>C41302|19</v>
      </c>
      <c r="B20" s="28" t="s">
        <v>55</v>
      </c>
      <c r="C20" s="28" t="n">
        <v>19</v>
      </c>
      <c r="D20" s="28" t="s">
        <v>111</v>
      </c>
      <c r="E20" s="28" t="s">
        <v>115</v>
      </c>
      <c r="F20" s="28" t="s">
        <v>95</v>
      </c>
      <c r="G20" s="29"/>
      <c r="H20" s="29"/>
      <c r="I20" s="28"/>
      <c r="J20" s="28" t="str">
        <f aca="false">INDEX(Turmas!$K:$K,MATCH(B20,Turmas!$M:$M,0))&amp;" | "&amp;INDEX(Turmas!$L:$L,MATCH(B20,Turmas!$M:$M,0))</f>
        <v>CICLO IV  -  1º ANO | TARDE</v>
      </c>
    </row>
    <row r="21" customFormat="false" ht="15" hidden="false" customHeight="false" outlineLevel="0" collapsed="false">
      <c r="A21" s="28" t="str">
        <f aca="false">B21&amp;"|"&amp;C21</f>
        <v>C41302|20</v>
      </c>
      <c r="B21" s="28" t="s">
        <v>55</v>
      </c>
      <c r="C21" s="28" t="n">
        <v>20</v>
      </c>
      <c r="D21" s="28" t="s">
        <v>111</v>
      </c>
      <c r="E21" s="28" t="s">
        <v>116</v>
      </c>
      <c r="F21" s="28" t="s">
        <v>95</v>
      </c>
      <c r="G21" s="29"/>
      <c r="H21" s="29"/>
      <c r="I21" s="28"/>
      <c r="J21" s="28" t="str">
        <f aca="false">INDEX(Turmas!$K:$K,MATCH(B21,Turmas!$M:$M,0))&amp;" | "&amp;INDEX(Turmas!$L:$L,MATCH(B21,Turmas!$M:$M,0))</f>
        <v>CICLO IV  -  1º ANO | TARDE</v>
      </c>
    </row>
    <row r="22" customFormat="false" ht="15" hidden="false" customHeight="false" outlineLevel="0" collapsed="false">
      <c r="A22" s="28" t="str">
        <f aca="false">B22&amp;"|"&amp;C22</f>
        <v>C41302|21</v>
      </c>
      <c r="B22" s="28" t="s">
        <v>55</v>
      </c>
      <c r="C22" s="28" t="n">
        <v>21</v>
      </c>
      <c r="D22" s="28" t="s">
        <v>111</v>
      </c>
      <c r="E22" s="28" t="s">
        <v>117</v>
      </c>
      <c r="F22" s="28" t="s">
        <v>95</v>
      </c>
      <c r="G22" s="29"/>
      <c r="H22" s="29"/>
      <c r="I22" s="28"/>
      <c r="J22" s="28" t="str">
        <f aca="false">INDEX(Turmas!$K:$K,MATCH(B22,Turmas!$M:$M,0))&amp;" | "&amp;INDEX(Turmas!$L:$L,MATCH(B22,Turmas!$M:$M,0))</f>
        <v>CICLO IV  -  1º ANO | TARDE</v>
      </c>
    </row>
    <row r="23" customFormat="false" ht="15" hidden="false" customHeight="false" outlineLevel="0" collapsed="false">
      <c r="A23" s="28" t="str">
        <f aca="false">B23&amp;"|"&amp;C23</f>
        <v>C41302|22</v>
      </c>
      <c r="B23" s="28" t="s">
        <v>55</v>
      </c>
      <c r="C23" s="28" t="n">
        <v>22</v>
      </c>
      <c r="D23" s="28" t="s">
        <v>111</v>
      </c>
      <c r="E23" s="28" t="s">
        <v>118</v>
      </c>
      <c r="F23" s="28" t="s">
        <v>95</v>
      </c>
      <c r="G23" s="29"/>
      <c r="H23" s="29"/>
      <c r="I23" s="28"/>
      <c r="J23" s="28" t="str">
        <f aca="false">INDEX(Turmas!$K:$K,MATCH(B23,Turmas!$M:$M,0))&amp;" | "&amp;INDEX(Turmas!$L:$L,MATCH(B23,Turmas!$M:$M,0))</f>
        <v>CICLO IV  -  1º ANO | TARDE</v>
      </c>
    </row>
    <row r="24" customFormat="false" ht="15" hidden="false" customHeight="false" outlineLevel="0" collapsed="false">
      <c r="A24" s="28" t="str">
        <f aca="false">B24&amp;"|"&amp;C24</f>
        <v>C41302|23</v>
      </c>
      <c r="B24" s="28" t="s">
        <v>55</v>
      </c>
      <c r="C24" s="28" t="n">
        <v>23</v>
      </c>
      <c r="D24" s="28" t="s">
        <v>111</v>
      </c>
      <c r="E24" s="28" t="s">
        <v>119</v>
      </c>
      <c r="F24" s="28" t="s">
        <v>95</v>
      </c>
      <c r="G24" s="29"/>
      <c r="H24" s="29"/>
      <c r="I24" s="28"/>
      <c r="J24" s="28" t="str">
        <f aca="false">INDEX(Turmas!$K:$K,MATCH(B24,Turmas!$M:$M,0))&amp;" | "&amp;INDEX(Turmas!$L:$L,MATCH(B24,Turmas!$M:$M,0))</f>
        <v>CICLO IV  -  1º ANO | TARDE</v>
      </c>
    </row>
    <row r="25" customFormat="false" ht="15" hidden="false" customHeight="false" outlineLevel="0" collapsed="false">
      <c r="A25" s="28" t="str">
        <f aca="false">B25&amp;"|"&amp;C25</f>
        <v>C41302|24</v>
      </c>
      <c r="B25" s="28" t="s">
        <v>55</v>
      </c>
      <c r="C25" s="28" t="n">
        <v>24</v>
      </c>
      <c r="D25" s="28" t="s">
        <v>111</v>
      </c>
      <c r="E25" s="28" t="s">
        <v>120</v>
      </c>
      <c r="F25" s="28" t="s">
        <v>95</v>
      </c>
      <c r="G25" s="29"/>
      <c r="H25" s="29"/>
      <c r="I25" s="28"/>
      <c r="J25" s="28" t="str">
        <f aca="false">INDEX(Turmas!$K:$K,MATCH(B25,Turmas!$M:$M,0))&amp;" | "&amp;INDEX(Turmas!$L:$L,MATCH(B25,Turmas!$M:$M,0))</f>
        <v>CICLO IV  -  1º ANO | TARDE</v>
      </c>
    </row>
    <row r="26" customFormat="false" ht="15" hidden="false" customHeight="false" outlineLevel="0" collapsed="false">
      <c r="A26" s="28" t="str">
        <f aca="false">B26&amp;"|"&amp;C26</f>
        <v>C41302|25</v>
      </c>
      <c r="B26" s="28" t="s">
        <v>55</v>
      </c>
      <c r="C26" s="28" t="n">
        <v>25</v>
      </c>
      <c r="D26" s="28" t="s">
        <v>121</v>
      </c>
      <c r="E26" s="28" t="s">
        <v>122</v>
      </c>
      <c r="F26" s="28" t="s">
        <v>95</v>
      </c>
      <c r="G26" s="29"/>
      <c r="H26" s="29"/>
      <c r="I26" s="28"/>
      <c r="J26" s="28" t="str">
        <f aca="false">INDEX(Turmas!$K:$K,MATCH(B26,Turmas!$M:$M,0))&amp;" | "&amp;INDEX(Turmas!$L:$L,MATCH(B26,Turmas!$M:$M,0))</f>
        <v>CICLO IV  -  1º ANO | TARDE</v>
      </c>
    </row>
    <row r="27" customFormat="false" ht="15" hidden="false" customHeight="false" outlineLevel="0" collapsed="false">
      <c r="A27" s="28" t="str">
        <f aca="false">B27&amp;"|"&amp;C27</f>
        <v>C41302|26</v>
      </c>
      <c r="B27" s="28" t="s">
        <v>55</v>
      </c>
      <c r="C27" s="28" t="n">
        <v>26</v>
      </c>
      <c r="D27" s="28" t="s">
        <v>121</v>
      </c>
      <c r="E27" s="28" t="s">
        <v>123</v>
      </c>
      <c r="F27" s="28" t="s">
        <v>95</v>
      </c>
      <c r="G27" s="29"/>
      <c r="H27" s="29"/>
      <c r="I27" s="28"/>
      <c r="J27" s="28" t="str">
        <f aca="false">INDEX(Turmas!$K:$K,MATCH(B27,Turmas!$M:$M,0))&amp;" | "&amp;INDEX(Turmas!$L:$L,MATCH(B27,Turmas!$M:$M,0))</f>
        <v>CICLO IV  -  1º ANO | TARDE</v>
      </c>
    </row>
    <row r="28" customFormat="false" ht="15" hidden="false" customHeight="false" outlineLevel="0" collapsed="false">
      <c r="A28" s="28" t="str">
        <f aca="false">B28&amp;"|"&amp;C28</f>
        <v>C41302|27</v>
      </c>
      <c r="B28" s="28" t="s">
        <v>55</v>
      </c>
      <c r="C28" s="28" t="n">
        <v>27</v>
      </c>
      <c r="D28" s="28" t="s">
        <v>121</v>
      </c>
      <c r="E28" s="28" t="s">
        <v>124</v>
      </c>
      <c r="F28" s="28" t="s">
        <v>95</v>
      </c>
      <c r="G28" s="29"/>
      <c r="H28" s="29"/>
      <c r="I28" s="28"/>
      <c r="J28" s="28" t="str">
        <f aca="false">INDEX(Turmas!$K:$K,MATCH(B28,Turmas!$M:$M,0))&amp;" | "&amp;INDEX(Turmas!$L:$L,MATCH(B28,Turmas!$M:$M,0))</f>
        <v>CICLO IV  -  1º ANO | TARDE</v>
      </c>
    </row>
    <row r="29" customFormat="false" ht="15" hidden="false" customHeight="false" outlineLevel="0" collapsed="false">
      <c r="A29" s="28" t="str">
        <f aca="false">B29&amp;"|"&amp;C29</f>
        <v>C41302|28</v>
      </c>
      <c r="B29" s="28" t="s">
        <v>55</v>
      </c>
      <c r="C29" s="28" t="n">
        <v>28</v>
      </c>
      <c r="D29" s="28" t="s">
        <v>121</v>
      </c>
      <c r="E29" s="28" t="s">
        <v>125</v>
      </c>
      <c r="F29" s="28" t="s">
        <v>95</v>
      </c>
      <c r="G29" s="29"/>
      <c r="H29" s="29"/>
      <c r="I29" s="28"/>
      <c r="J29" s="28" t="str">
        <f aca="false">INDEX(Turmas!$K:$K,MATCH(B29,Turmas!$M:$M,0))&amp;" | "&amp;INDEX(Turmas!$L:$L,MATCH(B29,Turmas!$M:$M,0))</f>
        <v>CICLO IV  -  1º ANO | TARDE</v>
      </c>
    </row>
    <row r="30" customFormat="false" ht="15" hidden="false" customHeight="false" outlineLevel="0" collapsed="false">
      <c r="A30" s="28" t="str">
        <f aca="false">B30&amp;"|"&amp;C30</f>
        <v>C41302|29</v>
      </c>
      <c r="B30" s="28" t="s">
        <v>55</v>
      </c>
      <c r="C30" s="28" t="n">
        <v>29</v>
      </c>
      <c r="D30" s="28" t="s">
        <v>121</v>
      </c>
      <c r="E30" s="28" t="s">
        <v>126</v>
      </c>
      <c r="F30" s="28" t="s">
        <v>95</v>
      </c>
      <c r="G30" s="29"/>
      <c r="H30" s="29"/>
      <c r="I30" s="28"/>
      <c r="J30" s="28" t="str">
        <f aca="false">INDEX(Turmas!$K:$K,MATCH(B30,Turmas!$M:$M,0))&amp;" | "&amp;INDEX(Turmas!$L:$L,MATCH(B30,Turmas!$M:$M,0))</f>
        <v>CICLO IV  -  1º ANO | TARDE</v>
      </c>
    </row>
    <row r="31" customFormat="false" ht="15" hidden="false" customHeight="false" outlineLevel="0" collapsed="false">
      <c r="A31" s="28" t="str">
        <f aca="false">B31&amp;"|"&amp;C31</f>
        <v>C41302|30</v>
      </c>
      <c r="B31" s="28" t="s">
        <v>55</v>
      </c>
      <c r="C31" s="28" t="n">
        <v>30</v>
      </c>
      <c r="D31" s="28" t="s">
        <v>127</v>
      </c>
      <c r="E31" s="28" t="s">
        <v>128</v>
      </c>
      <c r="F31" s="28" t="s">
        <v>95</v>
      </c>
      <c r="G31" s="29"/>
      <c r="H31" s="29"/>
      <c r="I31" s="28"/>
      <c r="J31" s="28" t="str">
        <f aca="false">INDEX(Turmas!$K:$K,MATCH(B31,Turmas!$M:$M,0))&amp;" | "&amp;INDEX(Turmas!$L:$L,MATCH(B31,Turmas!$M:$M,0))</f>
        <v>CICLO IV  -  1º ANO | TARDE</v>
      </c>
    </row>
    <row r="32" customFormat="false" ht="15" hidden="false" customHeight="false" outlineLevel="0" collapsed="false">
      <c r="A32" s="28" t="str">
        <f aca="false">B32&amp;"|"&amp;C32</f>
        <v>C41302|31</v>
      </c>
      <c r="B32" s="28" t="s">
        <v>55</v>
      </c>
      <c r="C32" s="28" t="n">
        <v>31</v>
      </c>
      <c r="D32" s="28" t="s">
        <v>127</v>
      </c>
      <c r="E32" s="28" t="s">
        <v>108</v>
      </c>
      <c r="F32" s="28" t="s">
        <v>95</v>
      </c>
      <c r="G32" s="29"/>
      <c r="H32" s="29"/>
      <c r="I32" s="28"/>
      <c r="J32" s="28" t="str">
        <f aca="false">INDEX(Turmas!$K:$K,MATCH(B32,Turmas!$M:$M,0))&amp;" | "&amp;INDEX(Turmas!$L:$L,MATCH(B32,Turmas!$M:$M,0))</f>
        <v>CICLO IV  -  1º ANO | TARDE</v>
      </c>
    </row>
    <row r="33" customFormat="false" ht="15" hidden="false" customHeight="false" outlineLevel="0" collapsed="false">
      <c r="A33" s="28" t="str">
        <f aca="false">B33&amp;"|"&amp;C33</f>
        <v>C41302|32</v>
      </c>
      <c r="B33" s="28" t="s">
        <v>55</v>
      </c>
      <c r="C33" s="28" t="n">
        <v>32</v>
      </c>
      <c r="D33" s="28" t="s">
        <v>127</v>
      </c>
      <c r="E33" s="28" t="s">
        <v>129</v>
      </c>
      <c r="F33" s="28" t="s">
        <v>95</v>
      </c>
      <c r="G33" s="29"/>
      <c r="H33" s="29"/>
      <c r="I33" s="28"/>
      <c r="J33" s="28" t="str">
        <f aca="false">INDEX(Turmas!$K:$K,MATCH(B33,Turmas!$M:$M,0))&amp;" | "&amp;INDEX(Turmas!$L:$L,MATCH(B33,Turmas!$M:$M,0))</f>
        <v>CICLO IV  -  1º ANO | TARDE</v>
      </c>
    </row>
    <row r="34" customFormat="false" ht="15" hidden="false" customHeight="false" outlineLevel="0" collapsed="false">
      <c r="A34" s="28" t="str">
        <f aca="false">B34&amp;"|"&amp;C34</f>
        <v>C41302|33</v>
      </c>
      <c r="B34" s="28" t="s">
        <v>55</v>
      </c>
      <c r="C34" s="28" t="n">
        <v>33</v>
      </c>
      <c r="D34" s="28" t="s">
        <v>127</v>
      </c>
      <c r="E34" s="28" t="s">
        <v>130</v>
      </c>
      <c r="F34" s="28" t="s">
        <v>95</v>
      </c>
      <c r="G34" s="29"/>
      <c r="H34" s="29"/>
      <c r="I34" s="28"/>
      <c r="J34" s="28" t="str">
        <f aca="false">INDEX(Turmas!$K:$K,MATCH(B34,Turmas!$M:$M,0))&amp;" | "&amp;INDEX(Turmas!$L:$L,MATCH(B34,Turmas!$M:$M,0))</f>
        <v>CICLO IV  -  1º ANO | TARDE</v>
      </c>
    </row>
    <row r="35" customFormat="false" ht="15" hidden="false" customHeight="false" outlineLevel="0" collapsed="false">
      <c r="A35" s="28" t="str">
        <f aca="false">B35&amp;"|"&amp;C35</f>
        <v>C41302|34</v>
      </c>
      <c r="B35" s="28" t="s">
        <v>55</v>
      </c>
      <c r="C35" s="28" t="n">
        <v>34</v>
      </c>
      <c r="D35" s="28" t="s">
        <v>127</v>
      </c>
      <c r="E35" s="28" t="s">
        <v>131</v>
      </c>
      <c r="F35" s="28" t="s">
        <v>95</v>
      </c>
      <c r="G35" s="29"/>
      <c r="H35" s="29"/>
      <c r="I35" s="28"/>
      <c r="J35" s="28" t="str">
        <f aca="false">INDEX(Turmas!$K:$K,MATCH(B35,Turmas!$M:$M,0))&amp;" | "&amp;INDEX(Turmas!$L:$L,MATCH(B35,Turmas!$M:$M,0))</f>
        <v>CICLO IV  -  1º ANO | TARDE</v>
      </c>
    </row>
    <row r="36" customFormat="false" ht="15" hidden="false" customHeight="false" outlineLevel="0" collapsed="false">
      <c r="A36" s="28" t="str">
        <f aca="false">B36&amp;"|"&amp;C36</f>
        <v>C41301|1</v>
      </c>
      <c r="B36" s="28" t="s">
        <v>57</v>
      </c>
      <c r="C36" s="28" t="n">
        <v>1</v>
      </c>
      <c r="D36" s="28" t="s">
        <v>93</v>
      </c>
      <c r="E36" s="28" t="s">
        <v>94</v>
      </c>
      <c r="F36" s="28" t="s">
        <v>95</v>
      </c>
      <c r="G36" s="29"/>
      <c r="H36" s="29"/>
      <c r="I36" s="28"/>
      <c r="J36" s="28" t="str">
        <f aca="false">INDEX(Turmas!$K:$K,MATCH(B36,Turmas!$M:$M,0))&amp;" | "&amp;INDEX(Turmas!$L:$L,MATCH(B36,Turmas!$M:$M,0))</f>
        <v>CICLO IV  -  1º ANO | TARDE</v>
      </c>
    </row>
    <row r="37" customFormat="false" ht="15" hidden="false" customHeight="false" outlineLevel="0" collapsed="false">
      <c r="A37" s="28" t="str">
        <f aca="false">B37&amp;"|"&amp;C37</f>
        <v>C41301|2</v>
      </c>
      <c r="B37" s="28" t="s">
        <v>57</v>
      </c>
      <c r="C37" s="28" t="n">
        <v>2</v>
      </c>
      <c r="D37" s="28" t="s">
        <v>93</v>
      </c>
      <c r="E37" s="28" t="s">
        <v>96</v>
      </c>
      <c r="F37" s="28" t="s">
        <v>95</v>
      </c>
      <c r="G37" s="29"/>
      <c r="H37" s="29"/>
      <c r="I37" s="28"/>
      <c r="J37" s="28" t="str">
        <f aca="false">INDEX(Turmas!$K:$K,MATCH(B37,Turmas!$M:$M,0))&amp;" | "&amp;INDEX(Turmas!$L:$L,MATCH(B37,Turmas!$M:$M,0))</f>
        <v>CICLO IV  -  1º ANO | TARDE</v>
      </c>
    </row>
    <row r="38" customFormat="false" ht="15" hidden="false" customHeight="false" outlineLevel="0" collapsed="false">
      <c r="A38" s="28" t="str">
        <f aca="false">B38&amp;"|"&amp;C38</f>
        <v>C41301|3</v>
      </c>
      <c r="B38" s="28" t="s">
        <v>57</v>
      </c>
      <c r="C38" s="28" t="n">
        <v>3</v>
      </c>
      <c r="D38" s="28" t="s">
        <v>93</v>
      </c>
      <c r="E38" s="28" t="s">
        <v>97</v>
      </c>
      <c r="F38" s="28" t="s">
        <v>95</v>
      </c>
      <c r="G38" s="29"/>
      <c r="H38" s="29"/>
      <c r="I38" s="28"/>
      <c r="J38" s="28" t="str">
        <f aca="false">INDEX(Turmas!$K:$K,MATCH(B38,Turmas!$M:$M,0))&amp;" | "&amp;INDEX(Turmas!$L:$L,MATCH(B38,Turmas!$M:$M,0))</f>
        <v>CICLO IV  -  1º ANO | TARDE</v>
      </c>
    </row>
    <row r="39" customFormat="false" ht="15" hidden="false" customHeight="false" outlineLevel="0" collapsed="false">
      <c r="A39" s="28" t="str">
        <f aca="false">B39&amp;"|"&amp;C39</f>
        <v>C41301|4</v>
      </c>
      <c r="B39" s="28" t="s">
        <v>57</v>
      </c>
      <c r="C39" s="28" t="n">
        <v>4</v>
      </c>
      <c r="D39" s="28" t="s">
        <v>93</v>
      </c>
      <c r="E39" s="28" t="s">
        <v>98</v>
      </c>
      <c r="F39" s="28" t="s">
        <v>95</v>
      </c>
      <c r="G39" s="29"/>
      <c r="H39" s="29"/>
      <c r="I39" s="28"/>
      <c r="J39" s="28" t="str">
        <f aca="false">INDEX(Turmas!$K:$K,MATCH(B39,Turmas!$M:$M,0))&amp;" | "&amp;INDEX(Turmas!$L:$L,MATCH(B39,Turmas!$M:$M,0))</f>
        <v>CICLO IV  -  1º ANO | TARDE</v>
      </c>
    </row>
    <row r="40" customFormat="false" ht="15" hidden="false" customHeight="false" outlineLevel="0" collapsed="false">
      <c r="A40" s="28" t="str">
        <f aca="false">B40&amp;"|"&amp;C40</f>
        <v>C41301|5</v>
      </c>
      <c r="B40" s="28" t="s">
        <v>57</v>
      </c>
      <c r="C40" s="28" t="n">
        <v>5</v>
      </c>
      <c r="D40" s="28" t="s">
        <v>93</v>
      </c>
      <c r="E40" s="28" t="s">
        <v>99</v>
      </c>
      <c r="F40" s="28" t="s">
        <v>95</v>
      </c>
      <c r="G40" s="29"/>
      <c r="H40" s="29"/>
      <c r="I40" s="28"/>
      <c r="J40" s="28" t="str">
        <f aca="false">INDEX(Turmas!$K:$K,MATCH(B40,Turmas!$M:$M,0))&amp;" | "&amp;INDEX(Turmas!$L:$L,MATCH(B40,Turmas!$M:$M,0))</f>
        <v>CICLO IV  -  1º ANO | TARDE</v>
      </c>
    </row>
    <row r="41" customFormat="false" ht="15" hidden="false" customHeight="false" outlineLevel="0" collapsed="false">
      <c r="A41" s="28" t="str">
        <f aca="false">B41&amp;"|"&amp;C41</f>
        <v>C41301|6</v>
      </c>
      <c r="B41" s="28" t="s">
        <v>57</v>
      </c>
      <c r="C41" s="28" t="n">
        <v>6</v>
      </c>
      <c r="D41" s="28" t="s">
        <v>93</v>
      </c>
      <c r="E41" s="28" t="s">
        <v>100</v>
      </c>
      <c r="F41" s="28" t="s">
        <v>95</v>
      </c>
      <c r="G41" s="29"/>
      <c r="H41" s="29"/>
      <c r="I41" s="28"/>
      <c r="J41" s="28" t="str">
        <f aca="false">INDEX(Turmas!$K:$K,MATCH(B41,Turmas!$M:$M,0))&amp;" | "&amp;INDEX(Turmas!$L:$L,MATCH(B41,Turmas!$M:$M,0))</f>
        <v>CICLO IV  -  1º ANO | TARDE</v>
      </c>
    </row>
    <row r="42" customFormat="false" ht="15" hidden="false" customHeight="false" outlineLevel="0" collapsed="false">
      <c r="A42" s="28" t="str">
        <f aca="false">B42&amp;"|"&amp;C42</f>
        <v>C41301|7</v>
      </c>
      <c r="B42" s="28" t="s">
        <v>57</v>
      </c>
      <c r="C42" s="28" t="n">
        <v>7</v>
      </c>
      <c r="D42" s="28" t="s">
        <v>93</v>
      </c>
      <c r="E42" s="28" t="s">
        <v>101</v>
      </c>
      <c r="F42" s="28" t="s">
        <v>95</v>
      </c>
      <c r="G42" s="29"/>
      <c r="H42" s="29"/>
      <c r="I42" s="28"/>
      <c r="J42" s="28" t="str">
        <f aca="false">INDEX(Turmas!$K:$K,MATCH(B42,Turmas!$M:$M,0))&amp;" | "&amp;INDEX(Turmas!$L:$L,MATCH(B42,Turmas!$M:$M,0))</f>
        <v>CICLO IV  -  1º ANO | TARDE</v>
      </c>
    </row>
    <row r="43" customFormat="false" ht="15" hidden="false" customHeight="false" outlineLevel="0" collapsed="false">
      <c r="A43" s="28" t="str">
        <f aca="false">B43&amp;"|"&amp;C43</f>
        <v>C41301|8</v>
      </c>
      <c r="B43" s="28" t="s">
        <v>57</v>
      </c>
      <c r="C43" s="28" t="n">
        <v>8</v>
      </c>
      <c r="D43" s="28" t="s">
        <v>102</v>
      </c>
      <c r="E43" s="28" t="s">
        <v>103</v>
      </c>
      <c r="F43" s="28" t="s">
        <v>95</v>
      </c>
      <c r="G43" s="29"/>
      <c r="H43" s="29"/>
      <c r="I43" s="28"/>
      <c r="J43" s="28" t="str">
        <f aca="false">INDEX(Turmas!$K:$K,MATCH(B43,Turmas!$M:$M,0))&amp;" | "&amp;INDEX(Turmas!$L:$L,MATCH(B43,Turmas!$M:$M,0))</f>
        <v>CICLO IV  -  1º ANO | TARDE</v>
      </c>
    </row>
    <row r="44" customFormat="false" ht="15" hidden="false" customHeight="false" outlineLevel="0" collapsed="false">
      <c r="A44" s="28" t="str">
        <f aca="false">B44&amp;"|"&amp;C44</f>
        <v>C41301|9</v>
      </c>
      <c r="B44" s="28" t="s">
        <v>57</v>
      </c>
      <c r="C44" s="28" t="n">
        <v>9</v>
      </c>
      <c r="D44" s="28" t="s">
        <v>102</v>
      </c>
      <c r="E44" s="28" t="s">
        <v>104</v>
      </c>
      <c r="F44" s="28" t="s">
        <v>95</v>
      </c>
      <c r="G44" s="29"/>
      <c r="H44" s="29"/>
      <c r="I44" s="28"/>
      <c r="J44" s="28" t="str">
        <f aca="false">INDEX(Turmas!$K:$K,MATCH(B44,Turmas!$M:$M,0))&amp;" | "&amp;INDEX(Turmas!$L:$L,MATCH(B44,Turmas!$M:$M,0))</f>
        <v>CICLO IV  -  1º ANO | TARDE</v>
      </c>
    </row>
    <row r="45" customFormat="false" ht="15" hidden="false" customHeight="false" outlineLevel="0" collapsed="false">
      <c r="A45" s="28" t="str">
        <f aca="false">B45&amp;"|"&amp;C45</f>
        <v>C41301|10</v>
      </c>
      <c r="B45" s="28" t="s">
        <v>57</v>
      </c>
      <c r="C45" s="28" t="n">
        <v>10</v>
      </c>
      <c r="D45" s="28" t="s">
        <v>102</v>
      </c>
      <c r="E45" s="28" t="s">
        <v>105</v>
      </c>
      <c r="F45" s="28" t="s">
        <v>95</v>
      </c>
      <c r="G45" s="29"/>
      <c r="H45" s="29"/>
      <c r="I45" s="28"/>
      <c r="J45" s="28" t="str">
        <f aca="false">INDEX(Turmas!$K:$K,MATCH(B45,Turmas!$M:$M,0))&amp;" | "&amp;INDEX(Turmas!$L:$L,MATCH(B45,Turmas!$M:$M,0))</f>
        <v>CICLO IV  -  1º ANO | TARDE</v>
      </c>
    </row>
    <row r="46" customFormat="false" ht="15" hidden="false" customHeight="false" outlineLevel="0" collapsed="false">
      <c r="A46" s="28" t="str">
        <f aca="false">B46&amp;"|"&amp;C46</f>
        <v>C41301|11</v>
      </c>
      <c r="B46" s="28" t="s">
        <v>57</v>
      </c>
      <c r="C46" s="28" t="n">
        <v>11</v>
      </c>
      <c r="D46" s="28" t="s">
        <v>102</v>
      </c>
      <c r="E46" s="28" t="s">
        <v>106</v>
      </c>
      <c r="F46" s="28" t="s">
        <v>95</v>
      </c>
      <c r="G46" s="29"/>
      <c r="H46" s="29"/>
      <c r="I46" s="28"/>
      <c r="J46" s="28" t="str">
        <f aca="false">INDEX(Turmas!$K:$K,MATCH(B46,Turmas!$M:$M,0))&amp;" | "&amp;INDEX(Turmas!$L:$L,MATCH(B46,Turmas!$M:$M,0))</f>
        <v>CICLO IV  -  1º ANO | TARDE</v>
      </c>
    </row>
    <row r="47" customFormat="false" ht="15" hidden="false" customHeight="false" outlineLevel="0" collapsed="false">
      <c r="A47" s="28" t="str">
        <f aca="false">B47&amp;"|"&amp;C47</f>
        <v>C41301|12</v>
      </c>
      <c r="B47" s="28" t="s">
        <v>57</v>
      </c>
      <c r="C47" s="28" t="n">
        <v>12</v>
      </c>
      <c r="D47" s="28" t="s">
        <v>102</v>
      </c>
      <c r="E47" s="28" t="s">
        <v>107</v>
      </c>
      <c r="F47" s="28" t="s">
        <v>95</v>
      </c>
      <c r="G47" s="29"/>
      <c r="H47" s="29"/>
      <c r="I47" s="28"/>
      <c r="J47" s="28" t="str">
        <f aca="false">INDEX(Turmas!$K:$K,MATCH(B47,Turmas!$M:$M,0))&amp;" | "&amp;INDEX(Turmas!$L:$L,MATCH(B47,Turmas!$M:$M,0))</f>
        <v>CICLO IV  -  1º ANO | TARDE</v>
      </c>
    </row>
    <row r="48" customFormat="false" ht="15" hidden="false" customHeight="false" outlineLevel="0" collapsed="false">
      <c r="A48" s="28" t="str">
        <f aca="false">B48&amp;"|"&amp;C48</f>
        <v>C41301|13</v>
      </c>
      <c r="B48" s="28" t="s">
        <v>57</v>
      </c>
      <c r="C48" s="28" t="n">
        <v>13</v>
      </c>
      <c r="D48" s="28" t="s">
        <v>102</v>
      </c>
      <c r="E48" s="28" t="s">
        <v>108</v>
      </c>
      <c r="F48" s="28" t="s">
        <v>95</v>
      </c>
      <c r="G48" s="29"/>
      <c r="H48" s="29"/>
      <c r="I48" s="28"/>
      <c r="J48" s="28" t="str">
        <f aca="false">INDEX(Turmas!$K:$K,MATCH(B48,Turmas!$M:$M,0))&amp;" | "&amp;INDEX(Turmas!$L:$L,MATCH(B48,Turmas!$M:$M,0))</f>
        <v>CICLO IV  -  1º ANO | TARDE</v>
      </c>
    </row>
    <row r="49" customFormat="false" ht="15" hidden="false" customHeight="false" outlineLevel="0" collapsed="false">
      <c r="A49" s="28" t="str">
        <f aca="false">B49&amp;"|"&amp;C49</f>
        <v>C41301|14</v>
      </c>
      <c r="B49" s="28" t="s">
        <v>57</v>
      </c>
      <c r="C49" s="28" t="n">
        <v>14</v>
      </c>
      <c r="D49" s="28" t="s">
        <v>102</v>
      </c>
      <c r="E49" s="28" t="s">
        <v>109</v>
      </c>
      <c r="F49" s="28" t="s">
        <v>95</v>
      </c>
      <c r="G49" s="29"/>
      <c r="H49" s="29"/>
      <c r="I49" s="28"/>
      <c r="J49" s="28" t="str">
        <f aca="false">INDEX(Turmas!$K:$K,MATCH(B49,Turmas!$M:$M,0))&amp;" | "&amp;INDEX(Turmas!$L:$L,MATCH(B49,Turmas!$M:$M,0))</f>
        <v>CICLO IV  -  1º ANO | TARDE</v>
      </c>
    </row>
    <row r="50" customFormat="false" ht="15" hidden="false" customHeight="false" outlineLevel="0" collapsed="false">
      <c r="A50" s="28" t="str">
        <f aca="false">B50&amp;"|"&amp;C50</f>
        <v>C41301|15</v>
      </c>
      <c r="B50" s="28" t="s">
        <v>57</v>
      </c>
      <c r="C50" s="28" t="n">
        <v>15</v>
      </c>
      <c r="D50" s="28" t="s">
        <v>102</v>
      </c>
      <c r="E50" s="28" t="s">
        <v>110</v>
      </c>
      <c r="F50" s="28" t="s">
        <v>95</v>
      </c>
      <c r="G50" s="29"/>
      <c r="H50" s="29"/>
      <c r="I50" s="28"/>
      <c r="J50" s="28" t="str">
        <f aca="false">INDEX(Turmas!$K:$K,MATCH(B50,Turmas!$M:$M,0))&amp;" | "&amp;INDEX(Turmas!$L:$L,MATCH(B50,Turmas!$M:$M,0))</f>
        <v>CICLO IV  -  1º ANO | TARDE</v>
      </c>
    </row>
    <row r="51" customFormat="false" ht="15" hidden="false" customHeight="false" outlineLevel="0" collapsed="false">
      <c r="A51" s="28" t="str">
        <f aca="false">B51&amp;"|"&amp;C51</f>
        <v>C41301|16</v>
      </c>
      <c r="B51" s="28" t="s">
        <v>57</v>
      </c>
      <c r="C51" s="28" t="n">
        <v>16</v>
      </c>
      <c r="D51" s="28" t="s">
        <v>111</v>
      </c>
      <c r="E51" s="28" t="s">
        <v>112</v>
      </c>
      <c r="F51" s="28" t="s">
        <v>95</v>
      </c>
      <c r="G51" s="29"/>
      <c r="H51" s="29"/>
      <c r="I51" s="28"/>
      <c r="J51" s="28" t="str">
        <f aca="false">INDEX(Turmas!$K:$K,MATCH(B51,Turmas!$M:$M,0))&amp;" | "&amp;INDEX(Turmas!$L:$L,MATCH(B51,Turmas!$M:$M,0))</f>
        <v>CICLO IV  -  1º ANO | TARDE</v>
      </c>
    </row>
    <row r="52" customFormat="false" ht="15" hidden="false" customHeight="false" outlineLevel="0" collapsed="false">
      <c r="A52" s="28" t="str">
        <f aca="false">B52&amp;"|"&amp;C52</f>
        <v>C41301|17</v>
      </c>
      <c r="B52" s="28" t="s">
        <v>57</v>
      </c>
      <c r="C52" s="28" t="n">
        <v>17</v>
      </c>
      <c r="D52" s="28" t="s">
        <v>111</v>
      </c>
      <c r="E52" s="28" t="s">
        <v>113</v>
      </c>
      <c r="F52" s="28" t="s">
        <v>95</v>
      </c>
      <c r="G52" s="29"/>
      <c r="H52" s="29"/>
      <c r="I52" s="28"/>
      <c r="J52" s="28" t="str">
        <f aca="false">INDEX(Turmas!$K:$K,MATCH(B52,Turmas!$M:$M,0))&amp;" | "&amp;INDEX(Turmas!$L:$L,MATCH(B52,Turmas!$M:$M,0))</f>
        <v>CICLO IV  -  1º ANO | TARDE</v>
      </c>
    </row>
    <row r="53" customFormat="false" ht="15" hidden="false" customHeight="false" outlineLevel="0" collapsed="false">
      <c r="A53" s="28" t="str">
        <f aca="false">B53&amp;"|"&amp;C53</f>
        <v>C41301|18</v>
      </c>
      <c r="B53" s="28" t="s">
        <v>57</v>
      </c>
      <c r="C53" s="28" t="n">
        <v>18</v>
      </c>
      <c r="D53" s="28" t="s">
        <v>111</v>
      </c>
      <c r="E53" s="28" t="s">
        <v>114</v>
      </c>
      <c r="F53" s="28" t="s">
        <v>95</v>
      </c>
      <c r="G53" s="29"/>
      <c r="H53" s="29"/>
      <c r="I53" s="28"/>
      <c r="J53" s="28" t="str">
        <f aca="false">INDEX(Turmas!$K:$K,MATCH(B53,Turmas!$M:$M,0))&amp;" | "&amp;INDEX(Turmas!$L:$L,MATCH(B53,Turmas!$M:$M,0))</f>
        <v>CICLO IV  -  1º ANO | TARDE</v>
      </c>
    </row>
    <row r="54" customFormat="false" ht="15" hidden="false" customHeight="false" outlineLevel="0" collapsed="false">
      <c r="A54" s="28" t="str">
        <f aca="false">B54&amp;"|"&amp;C54</f>
        <v>C41301|19</v>
      </c>
      <c r="B54" s="28" t="s">
        <v>57</v>
      </c>
      <c r="C54" s="28" t="n">
        <v>19</v>
      </c>
      <c r="D54" s="28" t="s">
        <v>111</v>
      </c>
      <c r="E54" s="28" t="s">
        <v>115</v>
      </c>
      <c r="F54" s="28" t="s">
        <v>95</v>
      </c>
      <c r="G54" s="29"/>
      <c r="H54" s="29"/>
      <c r="I54" s="28"/>
      <c r="J54" s="28" t="str">
        <f aca="false">INDEX(Turmas!$K:$K,MATCH(B54,Turmas!$M:$M,0))&amp;" | "&amp;INDEX(Turmas!$L:$L,MATCH(B54,Turmas!$M:$M,0))</f>
        <v>CICLO IV  -  1º ANO | TARDE</v>
      </c>
    </row>
    <row r="55" customFormat="false" ht="15" hidden="false" customHeight="false" outlineLevel="0" collapsed="false">
      <c r="A55" s="28" t="str">
        <f aca="false">B55&amp;"|"&amp;C55</f>
        <v>C41301|20</v>
      </c>
      <c r="B55" s="28" t="s">
        <v>57</v>
      </c>
      <c r="C55" s="28" t="n">
        <v>20</v>
      </c>
      <c r="D55" s="28" t="s">
        <v>111</v>
      </c>
      <c r="E55" s="28" t="s">
        <v>116</v>
      </c>
      <c r="F55" s="28" t="s">
        <v>95</v>
      </c>
      <c r="G55" s="29"/>
      <c r="H55" s="29"/>
      <c r="I55" s="28"/>
      <c r="J55" s="28" t="str">
        <f aca="false">INDEX(Turmas!$K:$K,MATCH(B55,Turmas!$M:$M,0))&amp;" | "&amp;INDEX(Turmas!$L:$L,MATCH(B55,Turmas!$M:$M,0))</f>
        <v>CICLO IV  -  1º ANO | TARDE</v>
      </c>
    </row>
    <row r="56" customFormat="false" ht="15" hidden="false" customHeight="false" outlineLevel="0" collapsed="false">
      <c r="A56" s="28" t="str">
        <f aca="false">B56&amp;"|"&amp;C56</f>
        <v>C41301|21</v>
      </c>
      <c r="B56" s="28" t="s">
        <v>57</v>
      </c>
      <c r="C56" s="28" t="n">
        <v>21</v>
      </c>
      <c r="D56" s="28" t="s">
        <v>111</v>
      </c>
      <c r="E56" s="28" t="s">
        <v>117</v>
      </c>
      <c r="F56" s="28" t="s">
        <v>95</v>
      </c>
      <c r="G56" s="29"/>
      <c r="H56" s="29"/>
      <c r="I56" s="28"/>
      <c r="J56" s="28" t="str">
        <f aca="false">INDEX(Turmas!$K:$K,MATCH(B56,Turmas!$M:$M,0))&amp;" | "&amp;INDEX(Turmas!$L:$L,MATCH(B56,Turmas!$M:$M,0))</f>
        <v>CICLO IV  -  1º ANO | TARDE</v>
      </c>
    </row>
    <row r="57" customFormat="false" ht="15" hidden="false" customHeight="false" outlineLevel="0" collapsed="false">
      <c r="A57" s="28" t="str">
        <f aca="false">B57&amp;"|"&amp;C57</f>
        <v>C41301|22</v>
      </c>
      <c r="B57" s="28" t="s">
        <v>57</v>
      </c>
      <c r="C57" s="28" t="n">
        <v>22</v>
      </c>
      <c r="D57" s="28" t="s">
        <v>111</v>
      </c>
      <c r="E57" s="28" t="s">
        <v>118</v>
      </c>
      <c r="F57" s="28" t="s">
        <v>95</v>
      </c>
      <c r="G57" s="29"/>
      <c r="H57" s="29"/>
      <c r="I57" s="28"/>
      <c r="J57" s="28" t="str">
        <f aca="false">INDEX(Turmas!$K:$K,MATCH(B57,Turmas!$M:$M,0))&amp;" | "&amp;INDEX(Turmas!$L:$L,MATCH(B57,Turmas!$M:$M,0))</f>
        <v>CICLO IV  -  1º ANO | TARDE</v>
      </c>
    </row>
    <row r="58" customFormat="false" ht="15" hidden="false" customHeight="false" outlineLevel="0" collapsed="false">
      <c r="A58" s="28" t="str">
        <f aca="false">B58&amp;"|"&amp;C58</f>
        <v>C41301|23</v>
      </c>
      <c r="B58" s="28" t="s">
        <v>57</v>
      </c>
      <c r="C58" s="28" t="n">
        <v>23</v>
      </c>
      <c r="D58" s="28" t="s">
        <v>111</v>
      </c>
      <c r="E58" s="28" t="s">
        <v>119</v>
      </c>
      <c r="F58" s="28" t="s">
        <v>95</v>
      </c>
      <c r="G58" s="29"/>
      <c r="H58" s="29"/>
      <c r="I58" s="28"/>
      <c r="J58" s="28" t="str">
        <f aca="false">INDEX(Turmas!$K:$K,MATCH(B58,Turmas!$M:$M,0))&amp;" | "&amp;INDEX(Turmas!$L:$L,MATCH(B58,Turmas!$M:$M,0))</f>
        <v>CICLO IV  -  1º ANO | TARDE</v>
      </c>
    </row>
    <row r="59" customFormat="false" ht="15" hidden="false" customHeight="false" outlineLevel="0" collapsed="false">
      <c r="A59" s="28" t="str">
        <f aca="false">B59&amp;"|"&amp;C59</f>
        <v>C41301|24</v>
      </c>
      <c r="B59" s="28" t="s">
        <v>57</v>
      </c>
      <c r="C59" s="28" t="n">
        <v>24</v>
      </c>
      <c r="D59" s="28" t="s">
        <v>111</v>
      </c>
      <c r="E59" s="28" t="s">
        <v>120</v>
      </c>
      <c r="F59" s="28" t="s">
        <v>95</v>
      </c>
      <c r="G59" s="29"/>
      <c r="H59" s="29"/>
      <c r="I59" s="28"/>
      <c r="J59" s="28" t="str">
        <f aca="false">INDEX(Turmas!$K:$K,MATCH(B59,Turmas!$M:$M,0))&amp;" | "&amp;INDEX(Turmas!$L:$L,MATCH(B59,Turmas!$M:$M,0))</f>
        <v>CICLO IV  -  1º ANO | TARDE</v>
      </c>
    </row>
    <row r="60" customFormat="false" ht="15" hidden="false" customHeight="false" outlineLevel="0" collapsed="false">
      <c r="A60" s="28" t="str">
        <f aca="false">B60&amp;"|"&amp;C60</f>
        <v>C41301|25</v>
      </c>
      <c r="B60" s="28" t="s">
        <v>57</v>
      </c>
      <c r="C60" s="28" t="n">
        <v>25</v>
      </c>
      <c r="D60" s="28" t="s">
        <v>121</v>
      </c>
      <c r="E60" s="28" t="s">
        <v>122</v>
      </c>
      <c r="F60" s="28" t="s">
        <v>95</v>
      </c>
      <c r="G60" s="29"/>
      <c r="H60" s="29"/>
      <c r="I60" s="28"/>
      <c r="J60" s="28" t="str">
        <f aca="false">INDEX(Turmas!$K:$K,MATCH(B60,Turmas!$M:$M,0))&amp;" | "&amp;INDEX(Turmas!$L:$L,MATCH(B60,Turmas!$M:$M,0))</f>
        <v>CICLO IV  -  1º ANO | TARDE</v>
      </c>
    </row>
    <row r="61" customFormat="false" ht="15" hidden="false" customHeight="false" outlineLevel="0" collapsed="false">
      <c r="A61" s="28" t="str">
        <f aca="false">B61&amp;"|"&amp;C61</f>
        <v>C41301|26</v>
      </c>
      <c r="B61" s="28" t="s">
        <v>57</v>
      </c>
      <c r="C61" s="28" t="n">
        <v>26</v>
      </c>
      <c r="D61" s="28" t="s">
        <v>121</v>
      </c>
      <c r="E61" s="28" t="s">
        <v>123</v>
      </c>
      <c r="F61" s="28" t="s">
        <v>95</v>
      </c>
      <c r="G61" s="29"/>
      <c r="H61" s="29"/>
      <c r="I61" s="28"/>
      <c r="J61" s="28" t="str">
        <f aca="false">INDEX(Turmas!$K:$K,MATCH(B61,Turmas!$M:$M,0))&amp;" | "&amp;INDEX(Turmas!$L:$L,MATCH(B61,Turmas!$M:$M,0))</f>
        <v>CICLO IV  -  1º ANO | TARDE</v>
      </c>
    </row>
    <row r="62" customFormat="false" ht="15" hidden="false" customHeight="false" outlineLevel="0" collapsed="false">
      <c r="A62" s="28" t="str">
        <f aca="false">B62&amp;"|"&amp;C62</f>
        <v>C41301|27</v>
      </c>
      <c r="B62" s="28" t="s">
        <v>57</v>
      </c>
      <c r="C62" s="28" t="n">
        <v>27</v>
      </c>
      <c r="D62" s="28" t="s">
        <v>121</v>
      </c>
      <c r="E62" s="28" t="s">
        <v>124</v>
      </c>
      <c r="F62" s="28" t="s">
        <v>95</v>
      </c>
      <c r="G62" s="29"/>
      <c r="H62" s="29"/>
      <c r="I62" s="28"/>
      <c r="J62" s="28" t="str">
        <f aca="false">INDEX(Turmas!$K:$K,MATCH(B62,Turmas!$M:$M,0))&amp;" | "&amp;INDEX(Turmas!$L:$L,MATCH(B62,Turmas!$M:$M,0))</f>
        <v>CICLO IV  -  1º ANO | TARDE</v>
      </c>
    </row>
    <row r="63" customFormat="false" ht="15" hidden="false" customHeight="false" outlineLevel="0" collapsed="false">
      <c r="A63" s="28" t="str">
        <f aca="false">B63&amp;"|"&amp;C63</f>
        <v>C41301|28</v>
      </c>
      <c r="B63" s="28" t="s">
        <v>57</v>
      </c>
      <c r="C63" s="28" t="n">
        <v>28</v>
      </c>
      <c r="D63" s="28" t="s">
        <v>121</v>
      </c>
      <c r="E63" s="28" t="s">
        <v>125</v>
      </c>
      <c r="F63" s="28" t="s">
        <v>95</v>
      </c>
      <c r="G63" s="29"/>
      <c r="H63" s="29"/>
      <c r="I63" s="28"/>
      <c r="J63" s="28" t="str">
        <f aca="false">INDEX(Turmas!$K:$K,MATCH(B63,Turmas!$M:$M,0))&amp;" | "&amp;INDEX(Turmas!$L:$L,MATCH(B63,Turmas!$M:$M,0))</f>
        <v>CICLO IV  -  1º ANO | TARDE</v>
      </c>
    </row>
    <row r="64" customFormat="false" ht="15" hidden="false" customHeight="false" outlineLevel="0" collapsed="false">
      <c r="A64" s="28" t="str">
        <f aca="false">B64&amp;"|"&amp;C64</f>
        <v>C41301|29</v>
      </c>
      <c r="B64" s="28" t="s">
        <v>57</v>
      </c>
      <c r="C64" s="28" t="n">
        <v>29</v>
      </c>
      <c r="D64" s="28" t="s">
        <v>121</v>
      </c>
      <c r="E64" s="28" t="s">
        <v>126</v>
      </c>
      <c r="F64" s="28" t="s">
        <v>95</v>
      </c>
      <c r="G64" s="29"/>
      <c r="H64" s="29"/>
      <c r="I64" s="28"/>
      <c r="J64" s="28" t="str">
        <f aca="false">INDEX(Turmas!$K:$K,MATCH(B64,Turmas!$M:$M,0))&amp;" | "&amp;INDEX(Turmas!$L:$L,MATCH(B64,Turmas!$M:$M,0))</f>
        <v>CICLO IV  -  1º ANO | TARDE</v>
      </c>
    </row>
    <row r="65" customFormat="false" ht="15" hidden="false" customHeight="false" outlineLevel="0" collapsed="false">
      <c r="A65" s="28" t="str">
        <f aca="false">B65&amp;"|"&amp;C65</f>
        <v>C41301|30</v>
      </c>
      <c r="B65" s="28" t="s">
        <v>57</v>
      </c>
      <c r="C65" s="28" t="n">
        <v>30</v>
      </c>
      <c r="D65" s="28" t="s">
        <v>127</v>
      </c>
      <c r="E65" s="28" t="s">
        <v>128</v>
      </c>
      <c r="F65" s="28" t="s">
        <v>95</v>
      </c>
      <c r="G65" s="29"/>
      <c r="H65" s="29"/>
      <c r="I65" s="28"/>
      <c r="J65" s="28" t="str">
        <f aca="false">INDEX(Turmas!$K:$K,MATCH(B65,Turmas!$M:$M,0))&amp;" | "&amp;INDEX(Turmas!$L:$L,MATCH(B65,Turmas!$M:$M,0))</f>
        <v>CICLO IV  -  1º ANO | TARDE</v>
      </c>
    </row>
    <row r="66" customFormat="false" ht="15" hidden="false" customHeight="false" outlineLevel="0" collapsed="false">
      <c r="A66" s="28" t="str">
        <f aca="false">B66&amp;"|"&amp;C66</f>
        <v>C41301|31</v>
      </c>
      <c r="B66" s="28" t="s">
        <v>57</v>
      </c>
      <c r="C66" s="28" t="n">
        <v>31</v>
      </c>
      <c r="D66" s="28" t="s">
        <v>127</v>
      </c>
      <c r="E66" s="28" t="s">
        <v>108</v>
      </c>
      <c r="F66" s="28" t="s">
        <v>95</v>
      </c>
      <c r="G66" s="29"/>
      <c r="H66" s="29"/>
      <c r="I66" s="28"/>
      <c r="J66" s="28" t="str">
        <f aca="false">INDEX(Turmas!$K:$K,MATCH(B66,Turmas!$M:$M,0))&amp;" | "&amp;INDEX(Turmas!$L:$L,MATCH(B66,Turmas!$M:$M,0))</f>
        <v>CICLO IV  -  1º ANO | TARDE</v>
      </c>
    </row>
    <row r="67" customFormat="false" ht="15" hidden="false" customHeight="false" outlineLevel="0" collapsed="false">
      <c r="A67" s="28" t="str">
        <f aca="false">B67&amp;"|"&amp;C67</f>
        <v>C41301|32</v>
      </c>
      <c r="B67" s="28" t="s">
        <v>57</v>
      </c>
      <c r="C67" s="28" t="n">
        <v>32</v>
      </c>
      <c r="D67" s="28" t="s">
        <v>127</v>
      </c>
      <c r="E67" s="28" t="s">
        <v>129</v>
      </c>
      <c r="F67" s="28" t="s">
        <v>95</v>
      </c>
      <c r="G67" s="29"/>
      <c r="H67" s="29"/>
      <c r="I67" s="28"/>
      <c r="J67" s="28" t="str">
        <f aca="false">INDEX(Turmas!$K:$K,MATCH(B67,Turmas!$M:$M,0))&amp;" | "&amp;INDEX(Turmas!$L:$L,MATCH(B67,Turmas!$M:$M,0))</f>
        <v>CICLO IV  -  1º ANO | TARDE</v>
      </c>
    </row>
    <row r="68" customFormat="false" ht="15" hidden="false" customHeight="false" outlineLevel="0" collapsed="false">
      <c r="A68" s="28" t="str">
        <f aca="false">B68&amp;"|"&amp;C68</f>
        <v>C41301|33</v>
      </c>
      <c r="B68" s="28" t="s">
        <v>57</v>
      </c>
      <c r="C68" s="28" t="n">
        <v>33</v>
      </c>
      <c r="D68" s="28" t="s">
        <v>127</v>
      </c>
      <c r="E68" s="28" t="s">
        <v>130</v>
      </c>
      <c r="F68" s="28" t="s">
        <v>95</v>
      </c>
      <c r="G68" s="29"/>
      <c r="H68" s="29"/>
      <c r="I68" s="28"/>
      <c r="J68" s="28" t="str">
        <f aca="false">INDEX(Turmas!$K:$K,MATCH(B68,Turmas!$M:$M,0))&amp;" | "&amp;INDEX(Turmas!$L:$L,MATCH(B68,Turmas!$M:$M,0))</f>
        <v>CICLO IV  -  1º ANO | TARDE</v>
      </c>
    </row>
    <row r="69" customFormat="false" ht="15" hidden="false" customHeight="false" outlineLevel="0" collapsed="false">
      <c r="A69" s="28" t="str">
        <f aca="false">B69&amp;"|"&amp;C69</f>
        <v>C41301|34</v>
      </c>
      <c r="B69" s="28" t="s">
        <v>57</v>
      </c>
      <c r="C69" s="28" t="n">
        <v>34</v>
      </c>
      <c r="D69" s="28" t="s">
        <v>127</v>
      </c>
      <c r="E69" s="28" t="s">
        <v>131</v>
      </c>
      <c r="F69" s="28" t="s">
        <v>95</v>
      </c>
      <c r="G69" s="29"/>
      <c r="H69" s="29"/>
      <c r="I69" s="28"/>
      <c r="J69" s="28" t="str">
        <f aca="false">INDEX(Turmas!$K:$K,MATCH(B69,Turmas!$M:$M,0))&amp;" | "&amp;INDEX(Turmas!$L:$L,MATCH(B69,Turmas!$M:$M,0))</f>
        <v>CICLO IV  -  1º ANO | TARDE</v>
      </c>
    </row>
    <row r="70" customFormat="false" ht="15" hidden="false" customHeight="false" outlineLevel="0" collapsed="false">
      <c r="A70" s="28" t="str">
        <f aca="false">B70&amp;"|"&amp;C70</f>
        <v>C32302|1</v>
      </c>
      <c r="B70" s="28" t="s">
        <v>59</v>
      </c>
      <c r="C70" s="28" t="n">
        <v>1</v>
      </c>
      <c r="D70" s="28" t="s">
        <v>93</v>
      </c>
      <c r="E70" s="28" t="s">
        <v>94</v>
      </c>
      <c r="F70" s="28" t="s">
        <v>95</v>
      </c>
      <c r="G70" s="29"/>
      <c r="H70" s="29"/>
      <c r="I70" s="28"/>
      <c r="J70" s="28" t="str">
        <f aca="false">INDEX(Turmas!$K:$K,MATCH(B70,Turmas!$M:$M,0))&amp;" | "&amp;INDEX(Turmas!$L:$L,MATCH(B70,Turmas!$M:$M,0))</f>
        <v>CICLO III  -  2º ANO | TARDE</v>
      </c>
    </row>
    <row r="71" customFormat="false" ht="15" hidden="false" customHeight="false" outlineLevel="0" collapsed="false">
      <c r="A71" s="28" t="str">
        <f aca="false">B71&amp;"|"&amp;C71</f>
        <v>C32302|2</v>
      </c>
      <c r="B71" s="28" t="s">
        <v>59</v>
      </c>
      <c r="C71" s="28" t="n">
        <v>2</v>
      </c>
      <c r="D71" s="28" t="s">
        <v>93</v>
      </c>
      <c r="E71" s="28" t="s">
        <v>96</v>
      </c>
      <c r="F71" s="28" t="s">
        <v>95</v>
      </c>
      <c r="G71" s="29"/>
      <c r="H71" s="29"/>
      <c r="I71" s="28"/>
      <c r="J71" s="28" t="str">
        <f aca="false">INDEX(Turmas!$K:$K,MATCH(B71,Turmas!$M:$M,0))&amp;" | "&amp;INDEX(Turmas!$L:$L,MATCH(B71,Turmas!$M:$M,0))</f>
        <v>CICLO III  -  2º ANO | TARDE</v>
      </c>
    </row>
    <row r="72" customFormat="false" ht="15" hidden="false" customHeight="false" outlineLevel="0" collapsed="false">
      <c r="A72" s="28" t="str">
        <f aca="false">B72&amp;"|"&amp;C72</f>
        <v>C32302|3</v>
      </c>
      <c r="B72" s="28" t="s">
        <v>59</v>
      </c>
      <c r="C72" s="28" t="n">
        <v>3</v>
      </c>
      <c r="D72" s="28" t="s">
        <v>93</v>
      </c>
      <c r="E72" s="28" t="s">
        <v>97</v>
      </c>
      <c r="F72" s="28" t="s">
        <v>95</v>
      </c>
      <c r="G72" s="29"/>
      <c r="H72" s="29"/>
      <c r="I72" s="28"/>
      <c r="J72" s="28" t="str">
        <f aca="false">INDEX(Turmas!$K:$K,MATCH(B72,Turmas!$M:$M,0))&amp;" | "&amp;INDEX(Turmas!$L:$L,MATCH(B72,Turmas!$M:$M,0))</f>
        <v>CICLO III  -  2º ANO | TARDE</v>
      </c>
    </row>
    <row r="73" customFormat="false" ht="15" hidden="false" customHeight="false" outlineLevel="0" collapsed="false">
      <c r="A73" s="28" t="str">
        <f aca="false">B73&amp;"|"&amp;C73</f>
        <v>C32302|4</v>
      </c>
      <c r="B73" s="28" t="s">
        <v>59</v>
      </c>
      <c r="C73" s="28" t="n">
        <v>4</v>
      </c>
      <c r="D73" s="28" t="s">
        <v>93</v>
      </c>
      <c r="E73" s="28" t="s">
        <v>98</v>
      </c>
      <c r="F73" s="28" t="s">
        <v>95</v>
      </c>
      <c r="G73" s="29"/>
      <c r="H73" s="29"/>
      <c r="I73" s="28"/>
      <c r="J73" s="28" t="str">
        <f aca="false">INDEX(Turmas!$K:$K,MATCH(B73,Turmas!$M:$M,0))&amp;" | "&amp;INDEX(Turmas!$L:$L,MATCH(B73,Turmas!$M:$M,0))</f>
        <v>CICLO III  -  2º ANO | TARDE</v>
      </c>
    </row>
    <row r="74" customFormat="false" ht="15" hidden="false" customHeight="false" outlineLevel="0" collapsed="false">
      <c r="A74" s="28" t="str">
        <f aca="false">B74&amp;"|"&amp;C74</f>
        <v>C32302|5</v>
      </c>
      <c r="B74" s="28" t="s">
        <v>59</v>
      </c>
      <c r="C74" s="28" t="n">
        <v>5</v>
      </c>
      <c r="D74" s="28" t="s">
        <v>93</v>
      </c>
      <c r="E74" s="28" t="s">
        <v>99</v>
      </c>
      <c r="F74" s="28" t="s">
        <v>95</v>
      </c>
      <c r="G74" s="29"/>
      <c r="H74" s="29"/>
      <c r="I74" s="28"/>
      <c r="J74" s="28" t="str">
        <f aca="false">INDEX(Turmas!$K:$K,MATCH(B74,Turmas!$M:$M,0))&amp;" | "&amp;INDEX(Turmas!$L:$L,MATCH(B74,Turmas!$M:$M,0))</f>
        <v>CICLO III  -  2º ANO | TARDE</v>
      </c>
    </row>
    <row r="75" customFormat="false" ht="15" hidden="false" customHeight="false" outlineLevel="0" collapsed="false">
      <c r="A75" s="28" t="str">
        <f aca="false">B75&amp;"|"&amp;C75</f>
        <v>C32302|6</v>
      </c>
      <c r="B75" s="28" t="s">
        <v>59</v>
      </c>
      <c r="C75" s="28" t="n">
        <v>6</v>
      </c>
      <c r="D75" s="28" t="s">
        <v>93</v>
      </c>
      <c r="E75" s="28" t="s">
        <v>100</v>
      </c>
      <c r="F75" s="28" t="s">
        <v>95</v>
      </c>
      <c r="G75" s="29"/>
      <c r="H75" s="29"/>
      <c r="I75" s="28"/>
      <c r="J75" s="28" t="str">
        <f aca="false">INDEX(Turmas!$K:$K,MATCH(B75,Turmas!$M:$M,0))&amp;" | "&amp;INDEX(Turmas!$L:$L,MATCH(B75,Turmas!$M:$M,0))</f>
        <v>CICLO III  -  2º ANO | TARDE</v>
      </c>
    </row>
    <row r="76" customFormat="false" ht="15" hidden="false" customHeight="false" outlineLevel="0" collapsed="false">
      <c r="A76" s="28" t="str">
        <f aca="false">B76&amp;"|"&amp;C76</f>
        <v>C32302|7</v>
      </c>
      <c r="B76" s="28" t="s">
        <v>59</v>
      </c>
      <c r="C76" s="28" t="n">
        <v>7</v>
      </c>
      <c r="D76" s="28" t="s">
        <v>93</v>
      </c>
      <c r="E76" s="28" t="s">
        <v>101</v>
      </c>
      <c r="F76" s="28" t="s">
        <v>95</v>
      </c>
      <c r="G76" s="29"/>
      <c r="H76" s="29"/>
      <c r="I76" s="28"/>
      <c r="J76" s="28" t="str">
        <f aca="false">INDEX(Turmas!$K:$K,MATCH(B76,Turmas!$M:$M,0))&amp;" | "&amp;INDEX(Turmas!$L:$L,MATCH(B76,Turmas!$M:$M,0))</f>
        <v>CICLO III  -  2º ANO | TARDE</v>
      </c>
    </row>
    <row r="77" customFormat="false" ht="15" hidden="false" customHeight="false" outlineLevel="0" collapsed="false">
      <c r="A77" s="28" t="str">
        <f aca="false">B77&amp;"|"&amp;C77</f>
        <v>C32302|8</v>
      </c>
      <c r="B77" s="28" t="s">
        <v>59</v>
      </c>
      <c r="C77" s="28" t="n">
        <v>8</v>
      </c>
      <c r="D77" s="28" t="s">
        <v>102</v>
      </c>
      <c r="E77" s="28" t="s">
        <v>103</v>
      </c>
      <c r="F77" s="28" t="s">
        <v>95</v>
      </c>
      <c r="G77" s="29"/>
      <c r="H77" s="29"/>
      <c r="I77" s="28"/>
      <c r="J77" s="28" t="str">
        <f aca="false">INDEX(Turmas!$K:$K,MATCH(B77,Turmas!$M:$M,0))&amp;" | "&amp;INDEX(Turmas!$L:$L,MATCH(B77,Turmas!$M:$M,0))</f>
        <v>CICLO III  -  2º ANO | TARDE</v>
      </c>
    </row>
    <row r="78" customFormat="false" ht="15" hidden="false" customHeight="false" outlineLevel="0" collapsed="false">
      <c r="A78" s="28" t="str">
        <f aca="false">B78&amp;"|"&amp;C78</f>
        <v>C32302|9</v>
      </c>
      <c r="B78" s="28" t="s">
        <v>59</v>
      </c>
      <c r="C78" s="28" t="n">
        <v>9</v>
      </c>
      <c r="D78" s="28" t="s">
        <v>102</v>
      </c>
      <c r="E78" s="28" t="s">
        <v>104</v>
      </c>
      <c r="F78" s="28" t="s">
        <v>95</v>
      </c>
      <c r="G78" s="29"/>
      <c r="H78" s="29"/>
      <c r="I78" s="28"/>
      <c r="J78" s="28" t="str">
        <f aca="false">INDEX(Turmas!$K:$K,MATCH(B78,Turmas!$M:$M,0))&amp;" | "&amp;INDEX(Turmas!$L:$L,MATCH(B78,Turmas!$M:$M,0))</f>
        <v>CICLO III  -  2º ANO | TARDE</v>
      </c>
    </row>
    <row r="79" customFormat="false" ht="15" hidden="false" customHeight="false" outlineLevel="0" collapsed="false">
      <c r="A79" s="28" t="str">
        <f aca="false">B79&amp;"|"&amp;C79</f>
        <v>C32302|10</v>
      </c>
      <c r="B79" s="28" t="s">
        <v>59</v>
      </c>
      <c r="C79" s="28" t="n">
        <v>10</v>
      </c>
      <c r="D79" s="28" t="s">
        <v>102</v>
      </c>
      <c r="E79" s="28" t="s">
        <v>105</v>
      </c>
      <c r="F79" s="28" t="s">
        <v>95</v>
      </c>
      <c r="G79" s="29"/>
      <c r="H79" s="29"/>
      <c r="I79" s="28"/>
      <c r="J79" s="28" t="str">
        <f aca="false">INDEX(Turmas!$K:$K,MATCH(B79,Turmas!$M:$M,0))&amp;" | "&amp;INDEX(Turmas!$L:$L,MATCH(B79,Turmas!$M:$M,0))</f>
        <v>CICLO III  -  2º ANO | TARDE</v>
      </c>
    </row>
    <row r="80" customFormat="false" ht="15" hidden="false" customHeight="false" outlineLevel="0" collapsed="false">
      <c r="A80" s="28" t="str">
        <f aca="false">B80&amp;"|"&amp;C80</f>
        <v>C32302|11</v>
      </c>
      <c r="B80" s="28" t="s">
        <v>59</v>
      </c>
      <c r="C80" s="28" t="n">
        <v>11</v>
      </c>
      <c r="D80" s="28" t="s">
        <v>102</v>
      </c>
      <c r="E80" s="28" t="s">
        <v>106</v>
      </c>
      <c r="F80" s="28" t="s">
        <v>95</v>
      </c>
      <c r="G80" s="29"/>
      <c r="H80" s="29"/>
      <c r="I80" s="28"/>
      <c r="J80" s="28" t="str">
        <f aca="false">INDEX(Turmas!$K:$K,MATCH(B80,Turmas!$M:$M,0))&amp;" | "&amp;INDEX(Turmas!$L:$L,MATCH(B80,Turmas!$M:$M,0))</f>
        <v>CICLO III  -  2º ANO | TARDE</v>
      </c>
    </row>
    <row r="81" customFormat="false" ht="15" hidden="false" customHeight="false" outlineLevel="0" collapsed="false">
      <c r="A81" s="28" t="str">
        <f aca="false">B81&amp;"|"&amp;C81</f>
        <v>C32302|12</v>
      </c>
      <c r="B81" s="28" t="s">
        <v>59</v>
      </c>
      <c r="C81" s="28" t="n">
        <v>12</v>
      </c>
      <c r="D81" s="28" t="s">
        <v>102</v>
      </c>
      <c r="E81" s="28" t="s">
        <v>107</v>
      </c>
      <c r="F81" s="28" t="s">
        <v>95</v>
      </c>
      <c r="G81" s="29"/>
      <c r="H81" s="29"/>
      <c r="I81" s="28"/>
      <c r="J81" s="28" t="str">
        <f aca="false">INDEX(Turmas!$K:$K,MATCH(B81,Turmas!$M:$M,0))&amp;" | "&amp;INDEX(Turmas!$L:$L,MATCH(B81,Turmas!$M:$M,0))</f>
        <v>CICLO III  -  2º ANO | TARDE</v>
      </c>
    </row>
    <row r="82" customFormat="false" ht="15" hidden="false" customHeight="false" outlineLevel="0" collapsed="false">
      <c r="A82" s="28" t="str">
        <f aca="false">B82&amp;"|"&amp;C82</f>
        <v>C32302|13</v>
      </c>
      <c r="B82" s="28" t="s">
        <v>59</v>
      </c>
      <c r="C82" s="28" t="n">
        <v>13</v>
      </c>
      <c r="D82" s="28" t="s">
        <v>102</v>
      </c>
      <c r="E82" s="28" t="s">
        <v>108</v>
      </c>
      <c r="F82" s="28" t="s">
        <v>95</v>
      </c>
      <c r="G82" s="29"/>
      <c r="H82" s="29"/>
      <c r="I82" s="28"/>
      <c r="J82" s="28" t="str">
        <f aca="false">INDEX(Turmas!$K:$K,MATCH(B82,Turmas!$M:$M,0))&amp;" | "&amp;INDEX(Turmas!$L:$L,MATCH(B82,Turmas!$M:$M,0))</f>
        <v>CICLO III  -  2º ANO | TARDE</v>
      </c>
    </row>
    <row r="83" customFormat="false" ht="15" hidden="false" customHeight="false" outlineLevel="0" collapsed="false">
      <c r="A83" s="28" t="str">
        <f aca="false">B83&amp;"|"&amp;C83</f>
        <v>C32302|14</v>
      </c>
      <c r="B83" s="28" t="s">
        <v>59</v>
      </c>
      <c r="C83" s="28" t="n">
        <v>14</v>
      </c>
      <c r="D83" s="28" t="s">
        <v>102</v>
      </c>
      <c r="E83" s="28" t="s">
        <v>109</v>
      </c>
      <c r="F83" s="28" t="s">
        <v>95</v>
      </c>
      <c r="G83" s="29"/>
      <c r="H83" s="29"/>
      <c r="I83" s="28"/>
      <c r="J83" s="28" t="str">
        <f aca="false">INDEX(Turmas!$K:$K,MATCH(B83,Turmas!$M:$M,0))&amp;" | "&amp;INDEX(Turmas!$L:$L,MATCH(B83,Turmas!$M:$M,0))</f>
        <v>CICLO III  -  2º ANO | TARDE</v>
      </c>
    </row>
    <row r="84" customFormat="false" ht="15" hidden="false" customHeight="false" outlineLevel="0" collapsed="false">
      <c r="A84" s="28" t="str">
        <f aca="false">B84&amp;"|"&amp;C84</f>
        <v>C32302|15</v>
      </c>
      <c r="B84" s="28" t="s">
        <v>59</v>
      </c>
      <c r="C84" s="28" t="n">
        <v>15</v>
      </c>
      <c r="D84" s="28" t="s">
        <v>102</v>
      </c>
      <c r="E84" s="28" t="s">
        <v>110</v>
      </c>
      <c r="F84" s="28" t="s">
        <v>95</v>
      </c>
      <c r="G84" s="29"/>
      <c r="H84" s="29"/>
      <c r="I84" s="28"/>
      <c r="J84" s="28" t="str">
        <f aca="false">INDEX(Turmas!$K:$K,MATCH(B84,Turmas!$M:$M,0))&amp;" | "&amp;INDEX(Turmas!$L:$L,MATCH(B84,Turmas!$M:$M,0))</f>
        <v>CICLO III  -  2º ANO | TARDE</v>
      </c>
    </row>
    <row r="85" customFormat="false" ht="15" hidden="false" customHeight="false" outlineLevel="0" collapsed="false">
      <c r="A85" s="28" t="str">
        <f aca="false">B85&amp;"|"&amp;C85</f>
        <v>C32302|16</v>
      </c>
      <c r="B85" s="28" t="s">
        <v>59</v>
      </c>
      <c r="C85" s="28" t="n">
        <v>16</v>
      </c>
      <c r="D85" s="28" t="s">
        <v>111</v>
      </c>
      <c r="E85" s="28" t="s">
        <v>112</v>
      </c>
      <c r="F85" s="28" t="s">
        <v>95</v>
      </c>
      <c r="G85" s="29"/>
      <c r="H85" s="29"/>
      <c r="I85" s="28"/>
      <c r="J85" s="28" t="str">
        <f aca="false">INDEX(Turmas!$K:$K,MATCH(B85,Turmas!$M:$M,0))&amp;" | "&amp;INDEX(Turmas!$L:$L,MATCH(B85,Turmas!$M:$M,0))</f>
        <v>CICLO III  -  2º ANO | TARDE</v>
      </c>
    </row>
    <row r="86" customFormat="false" ht="15" hidden="false" customHeight="false" outlineLevel="0" collapsed="false">
      <c r="A86" s="28" t="str">
        <f aca="false">B86&amp;"|"&amp;C86</f>
        <v>C32302|17</v>
      </c>
      <c r="B86" s="28" t="s">
        <v>59</v>
      </c>
      <c r="C86" s="28" t="n">
        <v>17</v>
      </c>
      <c r="D86" s="28" t="s">
        <v>111</v>
      </c>
      <c r="E86" s="28" t="s">
        <v>113</v>
      </c>
      <c r="F86" s="28" t="s">
        <v>95</v>
      </c>
      <c r="G86" s="29"/>
      <c r="H86" s="29"/>
      <c r="I86" s="28"/>
      <c r="J86" s="28" t="str">
        <f aca="false">INDEX(Turmas!$K:$K,MATCH(B86,Turmas!$M:$M,0))&amp;" | "&amp;INDEX(Turmas!$L:$L,MATCH(B86,Turmas!$M:$M,0))</f>
        <v>CICLO III  -  2º ANO | TARDE</v>
      </c>
    </row>
    <row r="87" customFormat="false" ht="15" hidden="false" customHeight="false" outlineLevel="0" collapsed="false">
      <c r="A87" s="28" t="str">
        <f aca="false">B87&amp;"|"&amp;C87</f>
        <v>C32302|18</v>
      </c>
      <c r="B87" s="28" t="s">
        <v>59</v>
      </c>
      <c r="C87" s="28" t="n">
        <v>18</v>
      </c>
      <c r="D87" s="28" t="s">
        <v>111</v>
      </c>
      <c r="E87" s="28" t="s">
        <v>114</v>
      </c>
      <c r="F87" s="28" t="s">
        <v>95</v>
      </c>
      <c r="G87" s="29"/>
      <c r="H87" s="29"/>
      <c r="I87" s="28"/>
      <c r="J87" s="28" t="str">
        <f aca="false">INDEX(Turmas!$K:$K,MATCH(B87,Turmas!$M:$M,0))&amp;" | "&amp;INDEX(Turmas!$L:$L,MATCH(B87,Turmas!$M:$M,0))</f>
        <v>CICLO III  -  2º ANO | TARDE</v>
      </c>
    </row>
    <row r="88" customFormat="false" ht="15" hidden="false" customHeight="false" outlineLevel="0" collapsed="false">
      <c r="A88" s="28" t="str">
        <f aca="false">B88&amp;"|"&amp;C88</f>
        <v>C32302|19</v>
      </c>
      <c r="B88" s="28" t="s">
        <v>59</v>
      </c>
      <c r="C88" s="28" t="n">
        <v>19</v>
      </c>
      <c r="D88" s="28" t="s">
        <v>111</v>
      </c>
      <c r="E88" s="28" t="s">
        <v>115</v>
      </c>
      <c r="F88" s="28" t="s">
        <v>95</v>
      </c>
      <c r="G88" s="29"/>
      <c r="H88" s="29"/>
      <c r="I88" s="28"/>
      <c r="J88" s="28" t="str">
        <f aca="false">INDEX(Turmas!$K:$K,MATCH(B88,Turmas!$M:$M,0))&amp;" | "&amp;INDEX(Turmas!$L:$L,MATCH(B88,Turmas!$M:$M,0))</f>
        <v>CICLO III  -  2º ANO | TARDE</v>
      </c>
    </row>
    <row r="89" customFormat="false" ht="15" hidden="false" customHeight="false" outlineLevel="0" collapsed="false">
      <c r="A89" s="28" t="str">
        <f aca="false">B89&amp;"|"&amp;C89</f>
        <v>C32302|20</v>
      </c>
      <c r="B89" s="28" t="s">
        <v>59</v>
      </c>
      <c r="C89" s="28" t="n">
        <v>20</v>
      </c>
      <c r="D89" s="28" t="s">
        <v>111</v>
      </c>
      <c r="E89" s="28" t="s">
        <v>116</v>
      </c>
      <c r="F89" s="28" t="s">
        <v>95</v>
      </c>
      <c r="G89" s="29"/>
      <c r="H89" s="29"/>
      <c r="I89" s="28"/>
      <c r="J89" s="28" t="str">
        <f aca="false">INDEX(Turmas!$K:$K,MATCH(B89,Turmas!$M:$M,0))&amp;" | "&amp;INDEX(Turmas!$L:$L,MATCH(B89,Turmas!$M:$M,0))</f>
        <v>CICLO III  -  2º ANO | TARDE</v>
      </c>
    </row>
    <row r="90" customFormat="false" ht="15" hidden="false" customHeight="false" outlineLevel="0" collapsed="false">
      <c r="A90" s="28" t="str">
        <f aca="false">B90&amp;"|"&amp;C90</f>
        <v>C32302|21</v>
      </c>
      <c r="B90" s="28" t="s">
        <v>59</v>
      </c>
      <c r="C90" s="28" t="n">
        <v>21</v>
      </c>
      <c r="D90" s="28" t="s">
        <v>111</v>
      </c>
      <c r="E90" s="28" t="s">
        <v>117</v>
      </c>
      <c r="F90" s="28" t="s">
        <v>95</v>
      </c>
      <c r="G90" s="29"/>
      <c r="H90" s="29"/>
      <c r="I90" s="28"/>
      <c r="J90" s="28" t="str">
        <f aca="false">INDEX(Turmas!$K:$K,MATCH(B90,Turmas!$M:$M,0))&amp;" | "&amp;INDEX(Turmas!$L:$L,MATCH(B90,Turmas!$M:$M,0))</f>
        <v>CICLO III  -  2º ANO | TARDE</v>
      </c>
    </row>
    <row r="91" customFormat="false" ht="15" hidden="false" customHeight="false" outlineLevel="0" collapsed="false">
      <c r="A91" s="28" t="str">
        <f aca="false">B91&amp;"|"&amp;C91</f>
        <v>C32302|22</v>
      </c>
      <c r="B91" s="28" t="s">
        <v>59</v>
      </c>
      <c r="C91" s="28" t="n">
        <v>22</v>
      </c>
      <c r="D91" s="28" t="s">
        <v>111</v>
      </c>
      <c r="E91" s="28" t="s">
        <v>118</v>
      </c>
      <c r="F91" s="28" t="s">
        <v>95</v>
      </c>
      <c r="G91" s="29"/>
      <c r="H91" s="29"/>
      <c r="I91" s="28"/>
      <c r="J91" s="28" t="str">
        <f aca="false">INDEX(Turmas!$K:$K,MATCH(B91,Turmas!$M:$M,0))&amp;" | "&amp;INDEX(Turmas!$L:$L,MATCH(B91,Turmas!$M:$M,0))</f>
        <v>CICLO III  -  2º ANO | TARDE</v>
      </c>
    </row>
    <row r="92" customFormat="false" ht="15" hidden="false" customHeight="false" outlineLevel="0" collapsed="false">
      <c r="A92" s="28" t="str">
        <f aca="false">B92&amp;"|"&amp;C92</f>
        <v>C32302|23</v>
      </c>
      <c r="B92" s="28" t="s">
        <v>59</v>
      </c>
      <c r="C92" s="28" t="n">
        <v>23</v>
      </c>
      <c r="D92" s="28" t="s">
        <v>111</v>
      </c>
      <c r="E92" s="28" t="s">
        <v>119</v>
      </c>
      <c r="F92" s="28" t="s">
        <v>95</v>
      </c>
      <c r="G92" s="29"/>
      <c r="H92" s="29"/>
      <c r="I92" s="28"/>
      <c r="J92" s="28" t="str">
        <f aca="false">INDEX(Turmas!$K:$K,MATCH(B92,Turmas!$M:$M,0))&amp;" | "&amp;INDEX(Turmas!$L:$L,MATCH(B92,Turmas!$M:$M,0))</f>
        <v>CICLO III  -  2º ANO | TARDE</v>
      </c>
    </row>
    <row r="93" customFormat="false" ht="15" hidden="false" customHeight="false" outlineLevel="0" collapsed="false">
      <c r="A93" s="28" t="str">
        <f aca="false">B93&amp;"|"&amp;C93</f>
        <v>C32302|24</v>
      </c>
      <c r="B93" s="28" t="s">
        <v>59</v>
      </c>
      <c r="C93" s="28" t="n">
        <v>24</v>
      </c>
      <c r="D93" s="28" t="s">
        <v>111</v>
      </c>
      <c r="E93" s="28" t="s">
        <v>120</v>
      </c>
      <c r="F93" s="28" t="s">
        <v>95</v>
      </c>
      <c r="G93" s="29"/>
      <c r="H93" s="29"/>
      <c r="I93" s="28"/>
      <c r="J93" s="28" t="str">
        <f aca="false">INDEX(Turmas!$K:$K,MATCH(B93,Turmas!$M:$M,0))&amp;" | "&amp;INDEX(Turmas!$L:$L,MATCH(B93,Turmas!$M:$M,0))</f>
        <v>CICLO III  -  2º ANO | TARDE</v>
      </c>
    </row>
    <row r="94" customFormat="false" ht="15" hidden="false" customHeight="false" outlineLevel="0" collapsed="false">
      <c r="A94" s="28" t="str">
        <f aca="false">B94&amp;"|"&amp;C94</f>
        <v>C32302|25</v>
      </c>
      <c r="B94" s="28" t="s">
        <v>59</v>
      </c>
      <c r="C94" s="28" t="n">
        <v>25</v>
      </c>
      <c r="D94" s="28" t="s">
        <v>121</v>
      </c>
      <c r="E94" s="28" t="s">
        <v>122</v>
      </c>
      <c r="F94" s="28" t="s">
        <v>95</v>
      </c>
      <c r="G94" s="29"/>
      <c r="H94" s="29"/>
      <c r="I94" s="28"/>
      <c r="J94" s="28" t="str">
        <f aca="false">INDEX(Turmas!$K:$K,MATCH(B94,Turmas!$M:$M,0))&amp;" | "&amp;INDEX(Turmas!$L:$L,MATCH(B94,Turmas!$M:$M,0))</f>
        <v>CICLO III  -  2º ANO | TARDE</v>
      </c>
    </row>
    <row r="95" customFormat="false" ht="15" hidden="false" customHeight="false" outlineLevel="0" collapsed="false">
      <c r="A95" s="28" t="str">
        <f aca="false">B95&amp;"|"&amp;C95</f>
        <v>C32302|26</v>
      </c>
      <c r="B95" s="28" t="s">
        <v>59</v>
      </c>
      <c r="C95" s="28" t="n">
        <v>26</v>
      </c>
      <c r="D95" s="28" t="s">
        <v>121</v>
      </c>
      <c r="E95" s="28" t="s">
        <v>123</v>
      </c>
      <c r="F95" s="28" t="s">
        <v>95</v>
      </c>
      <c r="G95" s="29"/>
      <c r="H95" s="29"/>
      <c r="I95" s="28"/>
      <c r="J95" s="28" t="str">
        <f aca="false">INDEX(Turmas!$K:$K,MATCH(B95,Turmas!$M:$M,0))&amp;" | "&amp;INDEX(Turmas!$L:$L,MATCH(B95,Turmas!$M:$M,0))</f>
        <v>CICLO III  -  2º ANO | TARDE</v>
      </c>
    </row>
    <row r="96" customFormat="false" ht="15" hidden="false" customHeight="false" outlineLevel="0" collapsed="false">
      <c r="A96" s="28" t="str">
        <f aca="false">B96&amp;"|"&amp;C96</f>
        <v>C32302|27</v>
      </c>
      <c r="B96" s="28" t="s">
        <v>59</v>
      </c>
      <c r="C96" s="28" t="n">
        <v>27</v>
      </c>
      <c r="D96" s="28" t="s">
        <v>121</v>
      </c>
      <c r="E96" s="28" t="s">
        <v>124</v>
      </c>
      <c r="F96" s="28" t="s">
        <v>95</v>
      </c>
      <c r="G96" s="29"/>
      <c r="H96" s="29"/>
      <c r="I96" s="28"/>
      <c r="J96" s="28" t="str">
        <f aca="false">INDEX(Turmas!$K:$K,MATCH(B96,Turmas!$M:$M,0))&amp;" | "&amp;INDEX(Turmas!$L:$L,MATCH(B96,Turmas!$M:$M,0))</f>
        <v>CICLO III  -  2º ANO | TARDE</v>
      </c>
    </row>
    <row r="97" customFormat="false" ht="15" hidden="false" customHeight="false" outlineLevel="0" collapsed="false">
      <c r="A97" s="28" t="str">
        <f aca="false">B97&amp;"|"&amp;C97</f>
        <v>C32302|28</v>
      </c>
      <c r="B97" s="28" t="s">
        <v>59</v>
      </c>
      <c r="C97" s="28" t="n">
        <v>28</v>
      </c>
      <c r="D97" s="28" t="s">
        <v>121</v>
      </c>
      <c r="E97" s="28" t="s">
        <v>125</v>
      </c>
      <c r="F97" s="28" t="s">
        <v>95</v>
      </c>
      <c r="G97" s="29"/>
      <c r="H97" s="29"/>
      <c r="I97" s="28"/>
      <c r="J97" s="28" t="str">
        <f aca="false">INDEX(Turmas!$K:$K,MATCH(B97,Turmas!$M:$M,0))&amp;" | "&amp;INDEX(Turmas!$L:$L,MATCH(B97,Turmas!$M:$M,0))</f>
        <v>CICLO III  -  2º ANO | TARDE</v>
      </c>
    </row>
    <row r="98" customFormat="false" ht="15" hidden="false" customHeight="false" outlineLevel="0" collapsed="false">
      <c r="A98" s="28" t="str">
        <f aca="false">B98&amp;"|"&amp;C98</f>
        <v>C32302|29</v>
      </c>
      <c r="B98" s="28" t="s">
        <v>59</v>
      </c>
      <c r="C98" s="28" t="n">
        <v>29</v>
      </c>
      <c r="D98" s="28" t="s">
        <v>121</v>
      </c>
      <c r="E98" s="28" t="s">
        <v>126</v>
      </c>
      <c r="F98" s="28" t="s">
        <v>95</v>
      </c>
      <c r="G98" s="29"/>
      <c r="H98" s="29"/>
      <c r="I98" s="28"/>
      <c r="J98" s="28" t="str">
        <f aca="false">INDEX(Turmas!$K:$K,MATCH(B98,Turmas!$M:$M,0))&amp;" | "&amp;INDEX(Turmas!$L:$L,MATCH(B98,Turmas!$M:$M,0))</f>
        <v>CICLO III  -  2º ANO | TARDE</v>
      </c>
    </row>
    <row r="99" customFormat="false" ht="15" hidden="false" customHeight="false" outlineLevel="0" collapsed="false">
      <c r="A99" s="28" t="str">
        <f aca="false">B99&amp;"|"&amp;C99</f>
        <v>C32302|30</v>
      </c>
      <c r="B99" s="28" t="s">
        <v>59</v>
      </c>
      <c r="C99" s="28" t="n">
        <v>30</v>
      </c>
      <c r="D99" s="28" t="s">
        <v>127</v>
      </c>
      <c r="E99" s="28" t="s">
        <v>128</v>
      </c>
      <c r="F99" s="28" t="s">
        <v>95</v>
      </c>
      <c r="G99" s="29"/>
      <c r="H99" s="29"/>
      <c r="I99" s="28"/>
      <c r="J99" s="28" t="str">
        <f aca="false">INDEX(Turmas!$K:$K,MATCH(B99,Turmas!$M:$M,0))&amp;" | "&amp;INDEX(Turmas!$L:$L,MATCH(B99,Turmas!$M:$M,0))</f>
        <v>CICLO III  -  2º ANO | TARDE</v>
      </c>
    </row>
    <row r="100" customFormat="false" ht="15" hidden="false" customHeight="false" outlineLevel="0" collapsed="false">
      <c r="A100" s="28" t="str">
        <f aca="false">B100&amp;"|"&amp;C100</f>
        <v>C32302|31</v>
      </c>
      <c r="B100" s="28" t="s">
        <v>59</v>
      </c>
      <c r="C100" s="28" t="n">
        <v>31</v>
      </c>
      <c r="D100" s="28" t="s">
        <v>127</v>
      </c>
      <c r="E100" s="28" t="s">
        <v>108</v>
      </c>
      <c r="F100" s="28" t="s">
        <v>95</v>
      </c>
      <c r="G100" s="29"/>
      <c r="H100" s="29"/>
      <c r="I100" s="28"/>
      <c r="J100" s="28" t="str">
        <f aca="false">INDEX(Turmas!$K:$K,MATCH(B100,Turmas!$M:$M,0))&amp;" | "&amp;INDEX(Turmas!$L:$L,MATCH(B100,Turmas!$M:$M,0))</f>
        <v>CICLO III  -  2º ANO | TARDE</v>
      </c>
    </row>
    <row r="101" customFormat="false" ht="15" hidden="false" customHeight="false" outlineLevel="0" collapsed="false">
      <c r="A101" s="28" t="str">
        <f aca="false">B101&amp;"|"&amp;C101</f>
        <v>C32302|32</v>
      </c>
      <c r="B101" s="28" t="s">
        <v>59</v>
      </c>
      <c r="C101" s="28" t="n">
        <v>32</v>
      </c>
      <c r="D101" s="28" t="s">
        <v>127</v>
      </c>
      <c r="E101" s="28" t="s">
        <v>129</v>
      </c>
      <c r="F101" s="28" t="s">
        <v>95</v>
      </c>
      <c r="G101" s="29"/>
      <c r="H101" s="29"/>
      <c r="I101" s="28"/>
      <c r="J101" s="28" t="str">
        <f aca="false">INDEX(Turmas!$K:$K,MATCH(B101,Turmas!$M:$M,0))&amp;" | "&amp;INDEX(Turmas!$L:$L,MATCH(B101,Turmas!$M:$M,0))</f>
        <v>CICLO III  -  2º ANO | TARDE</v>
      </c>
    </row>
    <row r="102" customFormat="false" ht="15" hidden="false" customHeight="false" outlineLevel="0" collapsed="false">
      <c r="A102" s="28" t="str">
        <f aca="false">B102&amp;"|"&amp;C102</f>
        <v>C32302|33</v>
      </c>
      <c r="B102" s="28" t="s">
        <v>59</v>
      </c>
      <c r="C102" s="28" t="n">
        <v>33</v>
      </c>
      <c r="D102" s="28" t="s">
        <v>127</v>
      </c>
      <c r="E102" s="28" t="s">
        <v>130</v>
      </c>
      <c r="F102" s="28" t="s">
        <v>95</v>
      </c>
      <c r="G102" s="29"/>
      <c r="H102" s="29"/>
      <c r="I102" s="28"/>
      <c r="J102" s="28" t="str">
        <f aca="false">INDEX(Turmas!$K:$K,MATCH(B102,Turmas!$M:$M,0))&amp;" | "&amp;INDEX(Turmas!$L:$L,MATCH(B102,Turmas!$M:$M,0))</f>
        <v>CICLO III  -  2º ANO | TARDE</v>
      </c>
    </row>
    <row r="103" customFormat="false" ht="15" hidden="false" customHeight="false" outlineLevel="0" collapsed="false">
      <c r="A103" s="28" t="str">
        <f aca="false">B103&amp;"|"&amp;C103</f>
        <v>C32302|34</v>
      </c>
      <c r="B103" s="28" t="s">
        <v>59</v>
      </c>
      <c r="C103" s="28" t="n">
        <v>34</v>
      </c>
      <c r="D103" s="28" t="s">
        <v>127</v>
      </c>
      <c r="E103" s="28" t="s">
        <v>131</v>
      </c>
      <c r="F103" s="28" t="s">
        <v>95</v>
      </c>
      <c r="G103" s="29"/>
      <c r="H103" s="29"/>
      <c r="I103" s="28"/>
      <c r="J103" s="28" t="str">
        <f aca="false">INDEX(Turmas!$K:$K,MATCH(B103,Turmas!$M:$M,0))&amp;" | "&amp;INDEX(Turmas!$L:$L,MATCH(B103,Turmas!$M:$M,0))</f>
        <v>CICLO III  -  2º ANO | TARDE</v>
      </c>
    </row>
    <row r="104" customFormat="false" ht="15" hidden="false" customHeight="false" outlineLevel="0" collapsed="false">
      <c r="A104" s="28" t="str">
        <f aca="false">B104&amp;"|"&amp;C104</f>
        <v>C32301|1</v>
      </c>
      <c r="B104" s="28" t="s">
        <v>60</v>
      </c>
      <c r="C104" s="28" t="n">
        <v>1</v>
      </c>
      <c r="D104" s="28" t="s">
        <v>93</v>
      </c>
      <c r="E104" s="28" t="s">
        <v>94</v>
      </c>
      <c r="F104" s="28" t="s">
        <v>95</v>
      </c>
      <c r="G104" s="29"/>
      <c r="H104" s="29"/>
      <c r="I104" s="28"/>
      <c r="J104" s="28" t="str">
        <f aca="false">INDEX(Turmas!$K:$K,MATCH(B104,Turmas!$M:$M,0))&amp;" | "&amp;INDEX(Turmas!$L:$L,MATCH(B104,Turmas!$M:$M,0))</f>
        <v>CICLO III  -  2º ANO | TARDE</v>
      </c>
    </row>
    <row r="105" customFormat="false" ht="15" hidden="false" customHeight="false" outlineLevel="0" collapsed="false">
      <c r="A105" s="28" t="str">
        <f aca="false">B105&amp;"|"&amp;C105</f>
        <v>C32301|2</v>
      </c>
      <c r="B105" s="28" t="s">
        <v>60</v>
      </c>
      <c r="C105" s="28" t="n">
        <v>2</v>
      </c>
      <c r="D105" s="28" t="s">
        <v>93</v>
      </c>
      <c r="E105" s="28" t="s">
        <v>96</v>
      </c>
      <c r="F105" s="28" t="s">
        <v>95</v>
      </c>
      <c r="G105" s="29"/>
      <c r="H105" s="29"/>
      <c r="I105" s="28"/>
      <c r="J105" s="28" t="str">
        <f aca="false">INDEX(Turmas!$K:$K,MATCH(B105,Turmas!$M:$M,0))&amp;" | "&amp;INDEX(Turmas!$L:$L,MATCH(B105,Turmas!$M:$M,0))</f>
        <v>CICLO III  -  2º ANO | TARDE</v>
      </c>
    </row>
    <row r="106" customFormat="false" ht="15" hidden="false" customHeight="false" outlineLevel="0" collapsed="false">
      <c r="A106" s="28" t="str">
        <f aca="false">B106&amp;"|"&amp;C106</f>
        <v>C32301|3</v>
      </c>
      <c r="B106" s="28" t="s">
        <v>60</v>
      </c>
      <c r="C106" s="28" t="n">
        <v>3</v>
      </c>
      <c r="D106" s="28" t="s">
        <v>93</v>
      </c>
      <c r="E106" s="28" t="s">
        <v>97</v>
      </c>
      <c r="F106" s="28" t="s">
        <v>95</v>
      </c>
      <c r="G106" s="29"/>
      <c r="H106" s="29"/>
      <c r="I106" s="28"/>
      <c r="J106" s="28" t="str">
        <f aca="false">INDEX(Turmas!$K:$K,MATCH(B106,Turmas!$M:$M,0))&amp;" | "&amp;INDEX(Turmas!$L:$L,MATCH(B106,Turmas!$M:$M,0))</f>
        <v>CICLO III  -  2º ANO | TARDE</v>
      </c>
    </row>
    <row r="107" customFormat="false" ht="15" hidden="false" customHeight="false" outlineLevel="0" collapsed="false">
      <c r="A107" s="28" t="str">
        <f aca="false">B107&amp;"|"&amp;C107</f>
        <v>C32301|4</v>
      </c>
      <c r="B107" s="28" t="s">
        <v>60</v>
      </c>
      <c r="C107" s="28" t="n">
        <v>4</v>
      </c>
      <c r="D107" s="28" t="s">
        <v>93</v>
      </c>
      <c r="E107" s="28" t="s">
        <v>98</v>
      </c>
      <c r="F107" s="28" t="s">
        <v>95</v>
      </c>
      <c r="G107" s="29"/>
      <c r="H107" s="29"/>
      <c r="I107" s="28"/>
      <c r="J107" s="28" t="str">
        <f aca="false">INDEX(Turmas!$K:$K,MATCH(B107,Turmas!$M:$M,0))&amp;" | "&amp;INDEX(Turmas!$L:$L,MATCH(B107,Turmas!$M:$M,0))</f>
        <v>CICLO III  -  2º ANO | TARDE</v>
      </c>
    </row>
    <row r="108" customFormat="false" ht="15" hidden="false" customHeight="false" outlineLevel="0" collapsed="false">
      <c r="A108" s="28" t="str">
        <f aca="false">B108&amp;"|"&amp;C108</f>
        <v>C32301|5</v>
      </c>
      <c r="B108" s="28" t="s">
        <v>60</v>
      </c>
      <c r="C108" s="28" t="n">
        <v>5</v>
      </c>
      <c r="D108" s="28" t="s">
        <v>93</v>
      </c>
      <c r="E108" s="28" t="s">
        <v>99</v>
      </c>
      <c r="F108" s="28" t="s">
        <v>95</v>
      </c>
      <c r="G108" s="29"/>
      <c r="H108" s="29"/>
      <c r="I108" s="28"/>
      <c r="J108" s="28" t="str">
        <f aca="false">INDEX(Turmas!$K:$K,MATCH(B108,Turmas!$M:$M,0))&amp;" | "&amp;INDEX(Turmas!$L:$L,MATCH(B108,Turmas!$M:$M,0))</f>
        <v>CICLO III  -  2º ANO | TARDE</v>
      </c>
    </row>
    <row r="109" customFormat="false" ht="15" hidden="false" customHeight="false" outlineLevel="0" collapsed="false">
      <c r="A109" s="28" t="str">
        <f aca="false">B109&amp;"|"&amp;C109</f>
        <v>C32301|6</v>
      </c>
      <c r="B109" s="28" t="s">
        <v>60</v>
      </c>
      <c r="C109" s="28" t="n">
        <v>6</v>
      </c>
      <c r="D109" s="28" t="s">
        <v>93</v>
      </c>
      <c r="E109" s="28" t="s">
        <v>100</v>
      </c>
      <c r="F109" s="28" t="s">
        <v>95</v>
      </c>
      <c r="G109" s="29"/>
      <c r="H109" s="29"/>
      <c r="I109" s="28"/>
      <c r="J109" s="28" t="str">
        <f aca="false">INDEX(Turmas!$K:$K,MATCH(B109,Turmas!$M:$M,0))&amp;" | "&amp;INDEX(Turmas!$L:$L,MATCH(B109,Turmas!$M:$M,0))</f>
        <v>CICLO III  -  2º ANO | TARDE</v>
      </c>
    </row>
    <row r="110" customFormat="false" ht="15" hidden="false" customHeight="false" outlineLevel="0" collapsed="false">
      <c r="A110" s="28" t="str">
        <f aca="false">B110&amp;"|"&amp;C110</f>
        <v>C32301|7</v>
      </c>
      <c r="B110" s="28" t="s">
        <v>60</v>
      </c>
      <c r="C110" s="28" t="n">
        <v>7</v>
      </c>
      <c r="D110" s="28" t="s">
        <v>93</v>
      </c>
      <c r="E110" s="28" t="s">
        <v>101</v>
      </c>
      <c r="F110" s="28" t="s">
        <v>95</v>
      </c>
      <c r="G110" s="29"/>
      <c r="H110" s="29"/>
      <c r="I110" s="28"/>
      <c r="J110" s="28" t="str">
        <f aca="false">INDEX(Turmas!$K:$K,MATCH(B110,Turmas!$M:$M,0))&amp;" | "&amp;INDEX(Turmas!$L:$L,MATCH(B110,Turmas!$M:$M,0))</f>
        <v>CICLO III  -  2º ANO | TARDE</v>
      </c>
    </row>
    <row r="111" customFormat="false" ht="15" hidden="false" customHeight="false" outlineLevel="0" collapsed="false">
      <c r="A111" s="28" t="str">
        <f aca="false">B111&amp;"|"&amp;C111</f>
        <v>C32301|8</v>
      </c>
      <c r="B111" s="28" t="s">
        <v>60</v>
      </c>
      <c r="C111" s="28" t="n">
        <v>8</v>
      </c>
      <c r="D111" s="28" t="s">
        <v>102</v>
      </c>
      <c r="E111" s="28" t="s">
        <v>103</v>
      </c>
      <c r="F111" s="28" t="s">
        <v>95</v>
      </c>
      <c r="G111" s="29"/>
      <c r="H111" s="29"/>
      <c r="I111" s="28"/>
      <c r="J111" s="28" t="str">
        <f aca="false">INDEX(Turmas!$K:$K,MATCH(B111,Turmas!$M:$M,0))&amp;" | "&amp;INDEX(Turmas!$L:$L,MATCH(B111,Turmas!$M:$M,0))</f>
        <v>CICLO III  -  2º ANO | TARDE</v>
      </c>
    </row>
    <row r="112" customFormat="false" ht="15" hidden="false" customHeight="false" outlineLevel="0" collapsed="false">
      <c r="A112" s="28" t="str">
        <f aca="false">B112&amp;"|"&amp;C112</f>
        <v>C32301|9</v>
      </c>
      <c r="B112" s="28" t="s">
        <v>60</v>
      </c>
      <c r="C112" s="28" t="n">
        <v>9</v>
      </c>
      <c r="D112" s="28" t="s">
        <v>102</v>
      </c>
      <c r="E112" s="28" t="s">
        <v>104</v>
      </c>
      <c r="F112" s="28" t="s">
        <v>95</v>
      </c>
      <c r="G112" s="29"/>
      <c r="H112" s="29"/>
      <c r="I112" s="28"/>
      <c r="J112" s="28" t="str">
        <f aca="false">INDEX(Turmas!$K:$K,MATCH(B112,Turmas!$M:$M,0))&amp;" | "&amp;INDEX(Turmas!$L:$L,MATCH(B112,Turmas!$M:$M,0))</f>
        <v>CICLO III  -  2º ANO | TARDE</v>
      </c>
    </row>
    <row r="113" customFormat="false" ht="15" hidden="false" customHeight="false" outlineLevel="0" collapsed="false">
      <c r="A113" s="28" t="str">
        <f aca="false">B113&amp;"|"&amp;C113</f>
        <v>C32301|10</v>
      </c>
      <c r="B113" s="28" t="s">
        <v>60</v>
      </c>
      <c r="C113" s="28" t="n">
        <v>10</v>
      </c>
      <c r="D113" s="28" t="s">
        <v>102</v>
      </c>
      <c r="E113" s="28" t="s">
        <v>105</v>
      </c>
      <c r="F113" s="28" t="s">
        <v>95</v>
      </c>
      <c r="G113" s="29"/>
      <c r="H113" s="29"/>
      <c r="I113" s="28"/>
      <c r="J113" s="28" t="str">
        <f aca="false">INDEX(Turmas!$K:$K,MATCH(B113,Turmas!$M:$M,0))&amp;" | "&amp;INDEX(Turmas!$L:$L,MATCH(B113,Turmas!$M:$M,0))</f>
        <v>CICLO III  -  2º ANO | TARDE</v>
      </c>
    </row>
    <row r="114" customFormat="false" ht="15" hidden="false" customHeight="false" outlineLevel="0" collapsed="false">
      <c r="A114" s="28" t="str">
        <f aca="false">B114&amp;"|"&amp;C114</f>
        <v>C32301|11</v>
      </c>
      <c r="B114" s="28" t="s">
        <v>60</v>
      </c>
      <c r="C114" s="28" t="n">
        <v>11</v>
      </c>
      <c r="D114" s="28" t="s">
        <v>102</v>
      </c>
      <c r="E114" s="28" t="s">
        <v>106</v>
      </c>
      <c r="F114" s="28" t="s">
        <v>95</v>
      </c>
      <c r="G114" s="29"/>
      <c r="H114" s="29"/>
      <c r="I114" s="28"/>
      <c r="J114" s="28" t="str">
        <f aca="false">INDEX(Turmas!$K:$K,MATCH(B114,Turmas!$M:$M,0))&amp;" | "&amp;INDEX(Turmas!$L:$L,MATCH(B114,Turmas!$M:$M,0))</f>
        <v>CICLO III  -  2º ANO | TARDE</v>
      </c>
    </row>
    <row r="115" customFormat="false" ht="15" hidden="false" customHeight="false" outlineLevel="0" collapsed="false">
      <c r="A115" s="28" t="str">
        <f aca="false">B115&amp;"|"&amp;C115</f>
        <v>C32301|12</v>
      </c>
      <c r="B115" s="28" t="s">
        <v>60</v>
      </c>
      <c r="C115" s="28" t="n">
        <v>12</v>
      </c>
      <c r="D115" s="28" t="s">
        <v>102</v>
      </c>
      <c r="E115" s="28" t="s">
        <v>107</v>
      </c>
      <c r="F115" s="28" t="s">
        <v>95</v>
      </c>
      <c r="G115" s="29"/>
      <c r="H115" s="29"/>
      <c r="I115" s="28"/>
      <c r="J115" s="28" t="str">
        <f aca="false">INDEX(Turmas!$K:$K,MATCH(B115,Turmas!$M:$M,0))&amp;" | "&amp;INDEX(Turmas!$L:$L,MATCH(B115,Turmas!$M:$M,0))</f>
        <v>CICLO III  -  2º ANO | TARDE</v>
      </c>
    </row>
    <row r="116" customFormat="false" ht="15" hidden="false" customHeight="false" outlineLevel="0" collapsed="false">
      <c r="A116" s="28" t="str">
        <f aca="false">B116&amp;"|"&amp;C116</f>
        <v>C32301|13</v>
      </c>
      <c r="B116" s="28" t="s">
        <v>60</v>
      </c>
      <c r="C116" s="28" t="n">
        <v>13</v>
      </c>
      <c r="D116" s="28" t="s">
        <v>102</v>
      </c>
      <c r="E116" s="28" t="s">
        <v>108</v>
      </c>
      <c r="F116" s="28" t="s">
        <v>95</v>
      </c>
      <c r="G116" s="29"/>
      <c r="H116" s="29"/>
      <c r="I116" s="28"/>
      <c r="J116" s="28" t="str">
        <f aca="false">INDEX(Turmas!$K:$K,MATCH(B116,Turmas!$M:$M,0))&amp;" | "&amp;INDEX(Turmas!$L:$L,MATCH(B116,Turmas!$M:$M,0))</f>
        <v>CICLO III  -  2º ANO | TARDE</v>
      </c>
    </row>
    <row r="117" customFormat="false" ht="15" hidden="false" customHeight="false" outlineLevel="0" collapsed="false">
      <c r="A117" s="28" t="str">
        <f aca="false">B117&amp;"|"&amp;C117</f>
        <v>C32301|14</v>
      </c>
      <c r="B117" s="28" t="s">
        <v>60</v>
      </c>
      <c r="C117" s="28" t="n">
        <v>14</v>
      </c>
      <c r="D117" s="28" t="s">
        <v>102</v>
      </c>
      <c r="E117" s="28" t="s">
        <v>109</v>
      </c>
      <c r="F117" s="28" t="s">
        <v>95</v>
      </c>
      <c r="G117" s="29"/>
      <c r="H117" s="29"/>
      <c r="I117" s="28"/>
      <c r="J117" s="28" t="str">
        <f aca="false">INDEX(Turmas!$K:$K,MATCH(B117,Turmas!$M:$M,0))&amp;" | "&amp;INDEX(Turmas!$L:$L,MATCH(B117,Turmas!$M:$M,0))</f>
        <v>CICLO III  -  2º ANO | TARDE</v>
      </c>
    </row>
    <row r="118" customFormat="false" ht="15" hidden="false" customHeight="false" outlineLevel="0" collapsed="false">
      <c r="A118" s="28" t="str">
        <f aca="false">B118&amp;"|"&amp;C118</f>
        <v>C32301|15</v>
      </c>
      <c r="B118" s="28" t="s">
        <v>60</v>
      </c>
      <c r="C118" s="28" t="n">
        <v>15</v>
      </c>
      <c r="D118" s="28" t="s">
        <v>102</v>
      </c>
      <c r="E118" s="28" t="s">
        <v>110</v>
      </c>
      <c r="F118" s="28" t="s">
        <v>95</v>
      </c>
      <c r="G118" s="29"/>
      <c r="H118" s="29"/>
      <c r="I118" s="28"/>
      <c r="J118" s="28" t="str">
        <f aca="false">INDEX(Turmas!$K:$K,MATCH(B118,Turmas!$M:$M,0))&amp;" | "&amp;INDEX(Turmas!$L:$L,MATCH(B118,Turmas!$M:$M,0))</f>
        <v>CICLO III  -  2º ANO | TARDE</v>
      </c>
    </row>
    <row r="119" customFormat="false" ht="15" hidden="false" customHeight="false" outlineLevel="0" collapsed="false">
      <c r="A119" s="28" t="str">
        <f aca="false">B119&amp;"|"&amp;C119</f>
        <v>C32301|16</v>
      </c>
      <c r="B119" s="28" t="s">
        <v>60</v>
      </c>
      <c r="C119" s="28" t="n">
        <v>16</v>
      </c>
      <c r="D119" s="28" t="s">
        <v>111</v>
      </c>
      <c r="E119" s="28" t="s">
        <v>112</v>
      </c>
      <c r="F119" s="28" t="s">
        <v>95</v>
      </c>
      <c r="G119" s="29"/>
      <c r="H119" s="29"/>
      <c r="I119" s="28"/>
      <c r="J119" s="28" t="str">
        <f aca="false">INDEX(Turmas!$K:$K,MATCH(B119,Turmas!$M:$M,0))&amp;" | "&amp;INDEX(Turmas!$L:$L,MATCH(B119,Turmas!$M:$M,0))</f>
        <v>CICLO III  -  2º ANO | TARDE</v>
      </c>
    </row>
    <row r="120" customFormat="false" ht="15" hidden="false" customHeight="false" outlineLevel="0" collapsed="false">
      <c r="A120" s="28" t="str">
        <f aca="false">B120&amp;"|"&amp;C120</f>
        <v>C32301|17</v>
      </c>
      <c r="B120" s="28" t="s">
        <v>60</v>
      </c>
      <c r="C120" s="28" t="n">
        <v>17</v>
      </c>
      <c r="D120" s="28" t="s">
        <v>111</v>
      </c>
      <c r="E120" s="28" t="s">
        <v>113</v>
      </c>
      <c r="F120" s="28" t="s">
        <v>95</v>
      </c>
      <c r="G120" s="29"/>
      <c r="H120" s="29"/>
      <c r="I120" s="28"/>
      <c r="J120" s="28" t="str">
        <f aca="false">INDEX(Turmas!$K:$K,MATCH(B120,Turmas!$M:$M,0))&amp;" | "&amp;INDEX(Turmas!$L:$L,MATCH(B120,Turmas!$M:$M,0))</f>
        <v>CICLO III  -  2º ANO | TARDE</v>
      </c>
    </row>
    <row r="121" customFormat="false" ht="15" hidden="false" customHeight="false" outlineLevel="0" collapsed="false">
      <c r="A121" s="28" t="str">
        <f aca="false">B121&amp;"|"&amp;C121</f>
        <v>C32301|18</v>
      </c>
      <c r="B121" s="28" t="s">
        <v>60</v>
      </c>
      <c r="C121" s="28" t="n">
        <v>18</v>
      </c>
      <c r="D121" s="28" t="s">
        <v>111</v>
      </c>
      <c r="E121" s="28" t="s">
        <v>114</v>
      </c>
      <c r="F121" s="28" t="s">
        <v>95</v>
      </c>
      <c r="G121" s="29"/>
      <c r="H121" s="29"/>
      <c r="I121" s="28"/>
      <c r="J121" s="28" t="str">
        <f aca="false">INDEX(Turmas!$K:$K,MATCH(B121,Turmas!$M:$M,0))&amp;" | "&amp;INDEX(Turmas!$L:$L,MATCH(B121,Turmas!$M:$M,0))</f>
        <v>CICLO III  -  2º ANO | TARDE</v>
      </c>
    </row>
    <row r="122" customFormat="false" ht="15" hidden="false" customHeight="false" outlineLevel="0" collapsed="false">
      <c r="A122" s="28" t="str">
        <f aca="false">B122&amp;"|"&amp;C122</f>
        <v>C32301|19</v>
      </c>
      <c r="B122" s="28" t="s">
        <v>60</v>
      </c>
      <c r="C122" s="28" t="n">
        <v>19</v>
      </c>
      <c r="D122" s="28" t="s">
        <v>111</v>
      </c>
      <c r="E122" s="28" t="s">
        <v>115</v>
      </c>
      <c r="F122" s="28" t="s">
        <v>95</v>
      </c>
      <c r="G122" s="29"/>
      <c r="H122" s="29"/>
      <c r="I122" s="28"/>
      <c r="J122" s="28" t="str">
        <f aca="false">INDEX(Turmas!$K:$K,MATCH(B122,Turmas!$M:$M,0))&amp;" | "&amp;INDEX(Turmas!$L:$L,MATCH(B122,Turmas!$M:$M,0))</f>
        <v>CICLO III  -  2º ANO | TARDE</v>
      </c>
    </row>
    <row r="123" customFormat="false" ht="15" hidden="false" customHeight="false" outlineLevel="0" collapsed="false">
      <c r="A123" s="28" t="str">
        <f aca="false">B123&amp;"|"&amp;C123</f>
        <v>C32301|20</v>
      </c>
      <c r="B123" s="28" t="s">
        <v>60</v>
      </c>
      <c r="C123" s="28" t="n">
        <v>20</v>
      </c>
      <c r="D123" s="28" t="s">
        <v>111</v>
      </c>
      <c r="E123" s="28" t="s">
        <v>116</v>
      </c>
      <c r="F123" s="28" t="s">
        <v>95</v>
      </c>
      <c r="G123" s="29"/>
      <c r="H123" s="29"/>
      <c r="I123" s="28"/>
      <c r="J123" s="28" t="str">
        <f aca="false">INDEX(Turmas!$K:$K,MATCH(B123,Turmas!$M:$M,0))&amp;" | "&amp;INDEX(Turmas!$L:$L,MATCH(B123,Turmas!$M:$M,0))</f>
        <v>CICLO III  -  2º ANO | TARDE</v>
      </c>
    </row>
    <row r="124" customFormat="false" ht="15" hidden="false" customHeight="false" outlineLevel="0" collapsed="false">
      <c r="A124" s="28" t="str">
        <f aca="false">B124&amp;"|"&amp;C124</f>
        <v>C32301|21</v>
      </c>
      <c r="B124" s="28" t="s">
        <v>60</v>
      </c>
      <c r="C124" s="28" t="n">
        <v>21</v>
      </c>
      <c r="D124" s="28" t="s">
        <v>111</v>
      </c>
      <c r="E124" s="28" t="s">
        <v>117</v>
      </c>
      <c r="F124" s="28" t="s">
        <v>95</v>
      </c>
      <c r="G124" s="29"/>
      <c r="H124" s="29"/>
      <c r="I124" s="28"/>
      <c r="J124" s="28" t="str">
        <f aca="false">INDEX(Turmas!$K:$K,MATCH(B124,Turmas!$M:$M,0))&amp;" | "&amp;INDEX(Turmas!$L:$L,MATCH(B124,Turmas!$M:$M,0))</f>
        <v>CICLO III  -  2º ANO | TARDE</v>
      </c>
    </row>
    <row r="125" customFormat="false" ht="15" hidden="false" customHeight="false" outlineLevel="0" collapsed="false">
      <c r="A125" s="28" t="str">
        <f aca="false">B125&amp;"|"&amp;C125</f>
        <v>C32301|22</v>
      </c>
      <c r="B125" s="28" t="s">
        <v>60</v>
      </c>
      <c r="C125" s="28" t="n">
        <v>22</v>
      </c>
      <c r="D125" s="28" t="s">
        <v>111</v>
      </c>
      <c r="E125" s="28" t="s">
        <v>118</v>
      </c>
      <c r="F125" s="28" t="s">
        <v>95</v>
      </c>
      <c r="G125" s="29"/>
      <c r="H125" s="29"/>
      <c r="I125" s="28"/>
      <c r="J125" s="28" t="str">
        <f aca="false">INDEX(Turmas!$K:$K,MATCH(B125,Turmas!$M:$M,0))&amp;" | "&amp;INDEX(Turmas!$L:$L,MATCH(B125,Turmas!$M:$M,0))</f>
        <v>CICLO III  -  2º ANO | TARDE</v>
      </c>
    </row>
    <row r="126" customFormat="false" ht="15" hidden="false" customHeight="false" outlineLevel="0" collapsed="false">
      <c r="A126" s="28" t="str">
        <f aca="false">B126&amp;"|"&amp;C126</f>
        <v>C32301|23</v>
      </c>
      <c r="B126" s="28" t="s">
        <v>60</v>
      </c>
      <c r="C126" s="28" t="n">
        <v>23</v>
      </c>
      <c r="D126" s="28" t="s">
        <v>111</v>
      </c>
      <c r="E126" s="28" t="s">
        <v>119</v>
      </c>
      <c r="F126" s="28" t="s">
        <v>95</v>
      </c>
      <c r="G126" s="29"/>
      <c r="H126" s="29"/>
      <c r="I126" s="28"/>
      <c r="J126" s="28" t="str">
        <f aca="false">INDEX(Turmas!$K:$K,MATCH(B126,Turmas!$M:$M,0))&amp;" | "&amp;INDEX(Turmas!$L:$L,MATCH(B126,Turmas!$M:$M,0))</f>
        <v>CICLO III  -  2º ANO | TARDE</v>
      </c>
    </row>
    <row r="127" customFormat="false" ht="15" hidden="false" customHeight="false" outlineLevel="0" collapsed="false">
      <c r="A127" s="28" t="str">
        <f aca="false">B127&amp;"|"&amp;C127</f>
        <v>C32301|24</v>
      </c>
      <c r="B127" s="28" t="s">
        <v>60</v>
      </c>
      <c r="C127" s="28" t="n">
        <v>24</v>
      </c>
      <c r="D127" s="28" t="s">
        <v>111</v>
      </c>
      <c r="E127" s="28" t="s">
        <v>120</v>
      </c>
      <c r="F127" s="28" t="s">
        <v>95</v>
      </c>
      <c r="G127" s="29"/>
      <c r="H127" s="29"/>
      <c r="I127" s="28"/>
      <c r="J127" s="28" t="str">
        <f aca="false">INDEX(Turmas!$K:$K,MATCH(B127,Turmas!$M:$M,0))&amp;" | "&amp;INDEX(Turmas!$L:$L,MATCH(B127,Turmas!$M:$M,0))</f>
        <v>CICLO III  -  2º ANO | TARDE</v>
      </c>
    </row>
    <row r="128" customFormat="false" ht="15" hidden="false" customHeight="false" outlineLevel="0" collapsed="false">
      <c r="A128" s="28" t="str">
        <f aca="false">B128&amp;"|"&amp;C128</f>
        <v>C32301|25</v>
      </c>
      <c r="B128" s="28" t="s">
        <v>60</v>
      </c>
      <c r="C128" s="28" t="n">
        <v>25</v>
      </c>
      <c r="D128" s="28" t="s">
        <v>121</v>
      </c>
      <c r="E128" s="28" t="s">
        <v>122</v>
      </c>
      <c r="F128" s="28" t="s">
        <v>95</v>
      </c>
      <c r="G128" s="29"/>
      <c r="H128" s="29"/>
      <c r="I128" s="28"/>
      <c r="J128" s="28" t="str">
        <f aca="false">INDEX(Turmas!$K:$K,MATCH(B128,Turmas!$M:$M,0))&amp;" | "&amp;INDEX(Turmas!$L:$L,MATCH(B128,Turmas!$M:$M,0))</f>
        <v>CICLO III  -  2º ANO | TARDE</v>
      </c>
    </row>
    <row r="129" customFormat="false" ht="15" hidden="false" customHeight="false" outlineLevel="0" collapsed="false">
      <c r="A129" s="28" t="str">
        <f aca="false">B129&amp;"|"&amp;C129</f>
        <v>C32301|26</v>
      </c>
      <c r="B129" s="28" t="s">
        <v>60</v>
      </c>
      <c r="C129" s="28" t="n">
        <v>26</v>
      </c>
      <c r="D129" s="28" t="s">
        <v>121</v>
      </c>
      <c r="E129" s="28" t="s">
        <v>123</v>
      </c>
      <c r="F129" s="28" t="s">
        <v>95</v>
      </c>
      <c r="G129" s="29"/>
      <c r="H129" s="29"/>
      <c r="I129" s="28"/>
      <c r="J129" s="28" t="str">
        <f aca="false">INDEX(Turmas!$K:$K,MATCH(B129,Turmas!$M:$M,0))&amp;" | "&amp;INDEX(Turmas!$L:$L,MATCH(B129,Turmas!$M:$M,0))</f>
        <v>CICLO III  -  2º ANO | TARDE</v>
      </c>
    </row>
    <row r="130" customFormat="false" ht="15" hidden="false" customHeight="false" outlineLevel="0" collapsed="false">
      <c r="A130" s="28" t="str">
        <f aca="false">B130&amp;"|"&amp;C130</f>
        <v>C32301|27</v>
      </c>
      <c r="B130" s="28" t="s">
        <v>60</v>
      </c>
      <c r="C130" s="28" t="n">
        <v>27</v>
      </c>
      <c r="D130" s="28" t="s">
        <v>121</v>
      </c>
      <c r="E130" s="28" t="s">
        <v>124</v>
      </c>
      <c r="F130" s="28" t="s">
        <v>95</v>
      </c>
      <c r="G130" s="29"/>
      <c r="H130" s="29"/>
      <c r="I130" s="28"/>
      <c r="J130" s="28" t="str">
        <f aca="false">INDEX(Turmas!$K:$K,MATCH(B130,Turmas!$M:$M,0))&amp;" | "&amp;INDEX(Turmas!$L:$L,MATCH(B130,Turmas!$M:$M,0))</f>
        <v>CICLO III  -  2º ANO | TARDE</v>
      </c>
    </row>
    <row r="131" customFormat="false" ht="15" hidden="false" customHeight="false" outlineLevel="0" collapsed="false">
      <c r="A131" s="28" t="str">
        <f aca="false">B131&amp;"|"&amp;C131</f>
        <v>C32301|28</v>
      </c>
      <c r="B131" s="28" t="s">
        <v>60</v>
      </c>
      <c r="C131" s="28" t="n">
        <v>28</v>
      </c>
      <c r="D131" s="28" t="s">
        <v>121</v>
      </c>
      <c r="E131" s="28" t="s">
        <v>125</v>
      </c>
      <c r="F131" s="28" t="s">
        <v>95</v>
      </c>
      <c r="G131" s="29"/>
      <c r="H131" s="29"/>
      <c r="I131" s="28"/>
      <c r="J131" s="28" t="str">
        <f aca="false">INDEX(Turmas!$K:$K,MATCH(B131,Turmas!$M:$M,0))&amp;" | "&amp;INDEX(Turmas!$L:$L,MATCH(B131,Turmas!$M:$M,0))</f>
        <v>CICLO III  -  2º ANO | TARDE</v>
      </c>
    </row>
    <row r="132" customFormat="false" ht="15" hidden="false" customHeight="false" outlineLevel="0" collapsed="false">
      <c r="A132" s="28" t="str">
        <f aca="false">B132&amp;"|"&amp;C132</f>
        <v>C32301|29</v>
      </c>
      <c r="B132" s="28" t="s">
        <v>60</v>
      </c>
      <c r="C132" s="28" t="n">
        <v>29</v>
      </c>
      <c r="D132" s="28" t="s">
        <v>121</v>
      </c>
      <c r="E132" s="28" t="s">
        <v>126</v>
      </c>
      <c r="F132" s="28" t="s">
        <v>95</v>
      </c>
      <c r="G132" s="29"/>
      <c r="H132" s="29"/>
      <c r="I132" s="28"/>
      <c r="J132" s="28" t="str">
        <f aca="false">INDEX(Turmas!$K:$K,MATCH(B132,Turmas!$M:$M,0))&amp;" | "&amp;INDEX(Turmas!$L:$L,MATCH(B132,Turmas!$M:$M,0))</f>
        <v>CICLO III  -  2º ANO | TARDE</v>
      </c>
    </row>
    <row r="133" customFormat="false" ht="15" hidden="false" customHeight="false" outlineLevel="0" collapsed="false">
      <c r="A133" s="28" t="str">
        <f aca="false">B133&amp;"|"&amp;C133</f>
        <v>C32301|30</v>
      </c>
      <c r="B133" s="28" t="s">
        <v>60</v>
      </c>
      <c r="C133" s="28" t="n">
        <v>30</v>
      </c>
      <c r="D133" s="28" t="s">
        <v>127</v>
      </c>
      <c r="E133" s="28" t="s">
        <v>128</v>
      </c>
      <c r="F133" s="28" t="s">
        <v>95</v>
      </c>
      <c r="G133" s="29"/>
      <c r="H133" s="29"/>
      <c r="I133" s="28"/>
      <c r="J133" s="28" t="str">
        <f aca="false">INDEX(Turmas!$K:$K,MATCH(B133,Turmas!$M:$M,0))&amp;" | "&amp;INDEX(Turmas!$L:$L,MATCH(B133,Turmas!$M:$M,0))</f>
        <v>CICLO III  -  2º ANO | TARDE</v>
      </c>
    </row>
    <row r="134" customFormat="false" ht="15" hidden="false" customHeight="false" outlineLevel="0" collapsed="false">
      <c r="A134" s="28" t="str">
        <f aca="false">B134&amp;"|"&amp;C134</f>
        <v>C32301|31</v>
      </c>
      <c r="B134" s="28" t="s">
        <v>60</v>
      </c>
      <c r="C134" s="28" t="n">
        <v>31</v>
      </c>
      <c r="D134" s="28" t="s">
        <v>127</v>
      </c>
      <c r="E134" s="28" t="s">
        <v>108</v>
      </c>
      <c r="F134" s="28" t="s">
        <v>95</v>
      </c>
      <c r="G134" s="29"/>
      <c r="H134" s="29"/>
      <c r="I134" s="28"/>
      <c r="J134" s="28" t="str">
        <f aca="false">INDEX(Turmas!$K:$K,MATCH(B134,Turmas!$M:$M,0))&amp;" | "&amp;INDEX(Turmas!$L:$L,MATCH(B134,Turmas!$M:$M,0))</f>
        <v>CICLO III  -  2º ANO | TARDE</v>
      </c>
    </row>
    <row r="135" customFormat="false" ht="15" hidden="false" customHeight="false" outlineLevel="0" collapsed="false">
      <c r="A135" s="28" t="str">
        <f aca="false">B135&amp;"|"&amp;C135</f>
        <v>C32301|32</v>
      </c>
      <c r="B135" s="28" t="s">
        <v>60</v>
      </c>
      <c r="C135" s="28" t="n">
        <v>32</v>
      </c>
      <c r="D135" s="28" t="s">
        <v>127</v>
      </c>
      <c r="E135" s="28" t="s">
        <v>129</v>
      </c>
      <c r="F135" s="28" t="s">
        <v>95</v>
      </c>
      <c r="G135" s="29"/>
      <c r="H135" s="29"/>
      <c r="I135" s="28"/>
      <c r="J135" s="28" t="str">
        <f aca="false">INDEX(Turmas!$K:$K,MATCH(B135,Turmas!$M:$M,0))&amp;" | "&amp;INDEX(Turmas!$L:$L,MATCH(B135,Turmas!$M:$M,0))</f>
        <v>CICLO III  -  2º ANO | TARDE</v>
      </c>
    </row>
    <row r="136" customFormat="false" ht="15" hidden="false" customHeight="false" outlineLevel="0" collapsed="false">
      <c r="A136" s="28" t="str">
        <f aca="false">B136&amp;"|"&amp;C136</f>
        <v>C32301|33</v>
      </c>
      <c r="B136" s="28" t="s">
        <v>60</v>
      </c>
      <c r="C136" s="28" t="n">
        <v>33</v>
      </c>
      <c r="D136" s="28" t="s">
        <v>127</v>
      </c>
      <c r="E136" s="28" t="s">
        <v>130</v>
      </c>
      <c r="F136" s="28" t="s">
        <v>95</v>
      </c>
      <c r="G136" s="29"/>
      <c r="H136" s="29"/>
      <c r="I136" s="28"/>
      <c r="J136" s="28" t="str">
        <f aca="false">INDEX(Turmas!$K:$K,MATCH(B136,Turmas!$M:$M,0))&amp;" | "&amp;INDEX(Turmas!$L:$L,MATCH(B136,Turmas!$M:$M,0))</f>
        <v>CICLO III  -  2º ANO | TARDE</v>
      </c>
    </row>
    <row r="137" customFormat="false" ht="15" hidden="false" customHeight="false" outlineLevel="0" collapsed="false">
      <c r="A137" s="28" t="str">
        <f aca="false">B137&amp;"|"&amp;C137</f>
        <v>C32301|34</v>
      </c>
      <c r="B137" s="28" t="s">
        <v>60</v>
      </c>
      <c r="C137" s="28" t="n">
        <v>34</v>
      </c>
      <c r="D137" s="28" t="s">
        <v>127</v>
      </c>
      <c r="E137" s="28" t="s">
        <v>131</v>
      </c>
      <c r="F137" s="28" t="s">
        <v>95</v>
      </c>
      <c r="G137" s="29"/>
      <c r="H137" s="29"/>
      <c r="I137" s="28"/>
      <c r="J137" s="28" t="str">
        <f aca="false">INDEX(Turmas!$K:$K,MATCH(B137,Turmas!$M:$M,0))&amp;" | "&amp;INDEX(Turmas!$L:$L,MATCH(B137,Turmas!$M:$M,0))</f>
        <v>CICLO III  -  2º ANO | TARDE</v>
      </c>
    </row>
    <row r="138" customFormat="false" ht="15" hidden="false" customHeight="false" outlineLevel="0" collapsed="false">
      <c r="A138" s="28" t="str">
        <f aca="false">B138&amp;"|"&amp;C138</f>
        <v>C31302|1</v>
      </c>
      <c r="B138" s="28" t="s">
        <v>62</v>
      </c>
      <c r="C138" s="28" t="n">
        <v>1</v>
      </c>
      <c r="D138" s="28" t="s">
        <v>93</v>
      </c>
      <c r="E138" s="28" t="s">
        <v>94</v>
      </c>
      <c r="F138" s="28" t="s">
        <v>95</v>
      </c>
      <c r="G138" s="29"/>
      <c r="H138" s="29"/>
      <c r="I138" s="28"/>
      <c r="J138" s="28" t="str">
        <f aca="false">INDEX(Turmas!$K:$K,MATCH(B138,Turmas!$M:$M,0))&amp;" | "&amp;INDEX(Turmas!$L:$L,MATCH(B138,Turmas!$M:$M,0))</f>
        <v>CICLO III  -  1º ANO | TARDE</v>
      </c>
    </row>
    <row r="139" customFormat="false" ht="15" hidden="false" customHeight="false" outlineLevel="0" collapsed="false">
      <c r="A139" s="28" t="str">
        <f aca="false">B139&amp;"|"&amp;C139</f>
        <v>C31302|2</v>
      </c>
      <c r="B139" s="28" t="s">
        <v>62</v>
      </c>
      <c r="C139" s="28" t="n">
        <v>2</v>
      </c>
      <c r="D139" s="28" t="s">
        <v>93</v>
      </c>
      <c r="E139" s="28" t="s">
        <v>96</v>
      </c>
      <c r="F139" s="28" t="s">
        <v>95</v>
      </c>
      <c r="G139" s="29"/>
      <c r="H139" s="29"/>
      <c r="I139" s="28"/>
      <c r="J139" s="28" t="str">
        <f aca="false">INDEX(Turmas!$K:$K,MATCH(B139,Turmas!$M:$M,0))&amp;" | "&amp;INDEX(Turmas!$L:$L,MATCH(B139,Turmas!$M:$M,0))</f>
        <v>CICLO III  -  1º ANO | TARDE</v>
      </c>
    </row>
    <row r="140" customFormat="false" ht="15" hidden="false" customHeight="false" outlineLevel="0" collapsed="false">
      <c r="A140" s="28" t="str">
        <f aca="false">B140&amp;"|"&amp;C140</f>
        <v>C31302|3</v>
      </c>
      <c r="B140" s="28" t="s">
        <v>62</v>
      </c>
      <c r="C140" s="28" t="n">
        <v>3</v>
      </c>
      <c r="D140" s="28" t="s">
        <v>93</v>
      </c>
      <c r="E140" s="28" t="s">
        <v>97</v>
      </c>
      <c r="F140" s="28" t="s">
        <v>95</v>
      </c>
      <c r="G140" s="29"/>
      <c r="H140" s="29"/>
      <c r="I140" s="28"/>
      <c r="J140" s="28" t="str">
        <f aca="false">INDEX(Turmas!$K:$K,MATCH(B140,Turmas!$M:$M,0))&amp;" | "&amp;INDEX(Turmas!$L:$L,MATCH(B140,Turmas!$M:$M,0))</f>
        <v>CICLO III  -  1º ANO | TARDE</v>
      </c>
    </row>
    <row r="141" customFormat="false" ht="15" hidden="false" customHeight="false" outlineLevel="0" collapsed="false">
      <c r="A141" s="28" t="str">
        <f aca="false">B141&amp;"|"&amp;C141</f>
        <v>C31302|4</v>
      </c>
      <c r="B141" s="28" t="s">
        <v>62</v>
      </c>
      <c r="C141" s="28" t="n">
        <v>4</v>
      </c>
      <c r="D141" s="28" t="s">
        <v>93</v>
      </c>
      <c r="E141" s="28" t="s">
        <v>98</v>
      </c>
      <c r="F141" s="28" t="s">
        <v>95</v>
      </c>
      <c r="G141" s="29"/>
      <c r="H141" s="29"/>
      <c r="I141" s="28"/>
      <c r="J141" s="28" t="str">
        <f aca="false">INDEX(Turmas!$K:$K,MATCH(B141,Turmas!$M:$M,0))&amp;" | "&amp;INDEX(Turmas!$L:$L,MATCH(B141,Turmas!$M:$M,0))</f>
        <v>CICLO III  -  1º ANO | TARDE</v>
      </c>
    </row>
    <row r="142" customFormat="false" ht="15" hidden="false" customHeight="false" outlineLevel="0" collapsed="false">
      <c r="A142" s="28" t="str">
        <f aca="false">B142&amp;"|"&amp;C142</f>
        <v>C31302|5</v>
      </c>
      <c r="B142" s="28" t="s">
        <v>62</v>
      </c>
      <c r="C142" s="28" t="n">
        <v>5</v>
      </c>
      <c r="D142" s="28" t="s">
        <v>93</v>
      </c>
      <c r="E142" s="28" t="s">
        <v>99</v>
      </c>
      <c r="F142" s="28" t="s">
        <v>95</v>
      </c>
      <c r="G142" s="29"/>
      <c r="H142" s="29"/>
      <c r="I142" s="28"/>
      <c r="J142" s="28" t="str">
        <f aca="false">INDEX(Turmas!$K:$K,MATCH(B142,Turmas!$M:$M,0))&amp;" | "&amp;INDEX(Turmas!$L:$L,MATCH(B142,Turmas!$M:$M,0))</f>
        <v>CICLO III  -  1º ANO | TARDE</v>
      </c>
    </row>
    <row r="143" customFormat="false" ht="15" hidden="false" customHeight="false" outlineLevel="0" collapsed="false">
      <c r="A143" s="28" t="str">
        <f aca="false">B143&amp;"|"&amp;C143</f>
        <v>C31302|6</v>
      </c>
      <c r="B143" s="28" t="s">
        <v>62</v>
      </c>
      <c r="C143" s="28" t="n">
        <v>6</v>
      </c>
      <c r="D143" s="28" t="s">
        <v>93</v>
      </c>
      <c r="E143" s="28" t="s">
        <v>100</v>
      </c>
      <c r="F143" s="28" t="s">
        <v>95</v>
      </c>
      <c r="G143" s="29"/>
      <c r="H143" s="29"/>
      <c r="I143" s="28"/>
      <c r="J143" s="28" t="str">
        <f aca="false">INDEX(Turmas!$K:$K,MATCH(B143,Turmas!$M:$M,0))&amp;" | "&amp;INDEX(Turmas!$L:$L,MATCH(B143,Turmas!$M:$M,0))</f>
        <v>CICLO III  -  1º ANO | TARDE</v>
      </c>
    </row>
    <row r="144" customFormat="false" ht="15" hidden="false" customHeight="false" outlineLevel="0" collapsed="false">
      <c r="A144" s="28" t="str">
        <f aca="false">B144&amp;"|"&amp;C144</f>
        <v>C31302|7</v>
      </c>
      <c r="B144" s="28" t="s">
        <v>62</v>
      </c>
      <c r="C144" s="28" t="n">
        <v>7</v>
      </c>
      <c r="D144" s="28" t="s">
        <v>93</v>
      </c>
      <c r="E144" s="28" t="s">
        <v>101</v>
      </c>
      <c r="F144" s="28" t="s">
        <v>95</v>
      </c>
      <c r="G144" s="29"/>
      <c r="H144" s="29"/>
      <c r="I144" s="28"/>
      <c r="J144" s="28" t="str">
        <f aca="false">INDEX(Turmas!$K:$K,MATCH(B144,Turmas!$M:$M,0))&amp;" | "&amp;INDEX(Turmas!$L:$L,MATCH(B144,Turmas!$M:$M,0))</f>
        <v>CICLO III  -  1º ANO | TARDE</v>
      </c>
    </row>
    <row r="145" customFormat="false" ht="15" hidden="false" customHeight="false" outlineLevel="0" collapsed="false">
      <c r="A145" s="28" t="str">
        <f aca="false">B145&amp;"|"&amp;C145</f>
        <v>C31302|8</v>
      </c>
      <c r="B145" s="28" t="s">
        <v>62</v>
      </c>
      <c r="C145" s="28" t="n">
        <v>8</v>
      </c>
      <c r="D145" s="28" t="s">
        <v>102</v>
      </c>
      <c r="E145" s="28" t="s">
        <v>103</v>
      </c>
      <c r="F145" s="28" t="s">
        <v>95</v>
      </c>
      <c r="G145" s="29"/>
      <c r="H145" s="29"/>
      <c r="I145" s="28"/>
      <c r="J145" s="28" t="str">
        <f aca="false">INDEX(Turmas!$K:$K,MATCH(B145,Turmas!$M:$M,0))&amp;" | "&amp;INDEX(Turmas!$L:$L,MATCH(B145,Turmas!$M:$M,0))</f>
        <v>CICLO III  -  1º ANO | TARDE</v>
      </c>
    </row>
    <row r="146" customFormat="false" ht="15" hidden="false" customHeight="false" outlineLevel="0" collapsed="false">
      <c r="A146" s="28" t="str">
        <f aca="false">B146&amp;"|"&amp;C146</f>
        <v>C31302|9</v>
      </c>
      <c r="B146" s="28" t="s">
        <v>62</v>
      </c>
      <c r="C146" s="28" t="n">
        <v>9</v>
      </c>
      <c r="D146" s="28" t="s">
        <v>102</v>
      </c>
      <c r="E146" s="28" t="s">
        <v>104</v>
      </c>
      <c r="F146" s="28" t="s">
        <v>95</v>
      </c>
      <c r="G146" s="29"/>
      <c r="H146" s="29"/>
      <c r="I146" s="28"/>
      <c r="J146" s="28" t="str">
        <f aca="false">INDEX(Turmas!$K:$K,MATCH(B146,Turmas!$M:$M,0))&amp;" | "&amp;INDEX(Turmas!$L:$L,MATCH(B146,Turmas!$M:$M,0))</f>
        <v>CICLO III  -  1º ANO | TARDE</v>
      </c>
    </row>
    <row r="147" customFormat="false" ht="15" hidden="false" customHeight="false" outlineLevel="0" collapsed="false">
      <c r="A147" s="28" t="str">
        <f aca="false">B147&amp;"|"&amp;C147</f>
        <v>C31302|10</v>
      </c>
      <c r="B147" s="28" t="s">
        <v>62</v>
      </c>
      <c r="C147" s="28" t="n">
        <v>10</v>
      </c>
      <c r="D147" s="28" t="s">
        <v>102</v>
      </c>
      <c r="E147" s="28" t="s">
        <v>105</v>
      </c>
      <c r="F147" s="28" t="s">
        <v>95</v>
      </c>
      <c r="G147" s="29"/>
      <c r="H147" s="29"/>
      <c r="I147" s="28"/>
      <c r="J147" s="28" t="str">
        <f aca="false">INDEX(Turmas!$K:$K,MATCH(B147,Turmas!$M:$M,0))&amp;" | "&amp;INDEX(Turmas!$L:$L,MATCH(B147,Turmas!$M:$M,0))</f>
        <v>CICLO III  -  1º ANO | TARDE</v>
      </c>
    </row>
    <row r="148" customFormat="false" ht="15" hidden="false" customHeight="false" outlineLevel="0" collapsed="false">
      <c r="A148" s="28" t="str">
        <f aca="false">B148&amp;"|"&amp;C148</f>
        <v>C31302|11</v>
      </c>
      <c r="B148" s="28" t="s">
        <v>62</v>
      </c>
      <c r="C148" s="28" t="n">
        <v>11</v>
      </c>
      <c r="D148" s="28" t="s">
        <v>102</v>
      </c>
      <c r="E148" s="28" t="s">
        <v>106</v>
      </c>
      <c r="F148" s="28" t="s">
        <v>95</v>
      </c>
      <c r="G148" s="29"/>
      <c r="H148" s="29"/>
      <c r="I148" s="28"/>
      <c r="J148" s="28" t="str">
        <f aca="false">INDEX(Turmas!$K:$K,MATCH(B148,Turmas!$M:$M,0))&amp;" | "&amp;INDEX(Turmas!$L:$L,MATCH(B148,Turmas!$M:$M,0))</f>
        <v>CICLO III  -  1º ANO | TARDE</v>
      </c>
    </row>
    <row r="149" customFormat="false" ht="15" hidden="false" customHeight="false" outlineLevel="0" collapsed="false">
      <c r="A149" s="28" t="str">
        <f aca="false">B149&amp;"|"&amp;C149</f>
        <v>C31302|12</v>
      </c>
      <c r="B149" s="28" t="s">
        <v>62</v>
      </c>
      <c r="C149" s="28" t="n">
        <v>12</v>
      </c>
      <c r="D149" s="28" t="s">
        <v>102</v>
      </c>
      <c r="E149" s="28" t="s">
        <v>107</v>
      </c>
      <c r="F149" s="28" t="s">
        <v>95</v>
      </c>
      <c r="G149" s="29"/>
      <c r="H149" s="29"/>
      <c r="I149" s="28"/>
      <c r="J149" s="28" t="str">
        <f aca="false">INDEX(Turmas!$K:$K,MATCH(B149,Turmas!$M:$M,0))&amp;" | "&amp;INDEX(Turmas!$L:$L,MATCH(B149,Turmas!$M:$M,0))</f>
        <v>CICLO III  -  1º ANO | TARDE</v>
      </c>
    </row>
    <row r="150" customFormat="false" ht="15" hidden="false" customHeight="false" outlineLevel="0" collapsed="false">
      <c r="A150" s="28" t="str">
        <f aca="false">B150&amp;"|"&amp;C150</f>
        <v>C31302|13</v>
      </c>
      <c r="B150" s="28" t="s">
        <v>62</v>
      </c>
      <c r="C150" s="28" t="n">
        <v>13</v>
      </c>
      <c r="D150" s="28" t="s">
        <v>102</v>
      </c>
      <c r="E150" s="28" t="s">
        <v>108</v>
      </c>
      <c r="F150" s="28" t="s">
        <v>95</v>
      </c>
      <c r="G150" s="29"/>
      <c r="H150" s="29"/>
      <c r="I150" s="28"/>
      <c r="J150" s="28" t="str">
        <f aca="false">INDEX(Turmas!$K:$K,MATCH(B150,Turmas!$M:$M,0))&amp;" | "&amp;INDEX(Turmas!$L:$L,MATCH(B150,Turmas!$M:$M,0))</f>
        <v>CICLO III  -  1º ANO | TARDE</v>
      </c>
    </row>
    <row r="151" customFormat="false" ht="15" hidden="false" customHeight="false" outlineLevel="0" collapsed="false">
      <c r="A151" s="28" t="str">
        <f aca="false">B151&amp;"|"&amp;C151</f>
        <v>C31302|14</v>
      </c>
      <c r="B151" s="28" t="s">
        <v>62</v>
      </c>
      <c r="C151" s="28" t="n">
        <v>14</v>
      </c>
      <c r="D151" s="28" t="s">
        <v>102</v>
      </c>
      <c r="E151" s="28" t="s">
        <v>109</v>
      </c>
      <c r="F151" s="28" t="s">
        <v>95</v>
      </c>
      <c r="G151" s="29"/>
      <c r="H151" s="29"/>
      <c r="I151" s="28"/>
      <c r="J151" s="28" t="str">
        <f aca="false">INDEX(Turmas!$K:$K,MATCH(B151,Turmas!$M:$M,0))&amp;" | "&amp;INDEX(Turmas!$L:$L,MATCH(B151,Turmas!$M:$M,0))</f>
        <v>CICLO III  -  1º ANO | TARDE</v>
      </c>
    </row>
    <row r="152" customFormat="false" ht="15" hidden="false" customHeight="false" outlineLevel="0" collapsed="false">
      <c r="A152" s="28" t="str">
        <f aca="false">B152&amp;"|"&amp;C152</f>
        <v>C31302|15</v>
      </c>
      <c r="B152" s="28" t="s">
        <v>62</v>
      </c>
      <c r="C152" s="28" t="n">
        <v>15</v>
      </c>
      <c r="D152" s="28" t="s">
        <v>102</v>
      </c>
      <c r="E152" s="28" t="s">
        <v>110</v>
      </c>
      <c r="F152" s="28" t="s">
        <v>95</v>
      </c>
      <c r="G152" s="29"/>
      <c r="H152" s="29"/>
      <c r="I152" s="28"/>
      <c r="J152" s="28" t="str">
        <f aca="false">INDEX(Turmas!$K:$K,MATCH(B152,Turmas!$M:$M,0))&amp;" | "&amp;INDEX(Turmas!$L:$L,MATCH(B152,Turmas!$M:$M,0))</f>
        <v>CICLO III  -  1º ANO | TARDE</v>
      </c>
    </row>
    <row r="153" customFormat="false" ht="15" hidden="false" customHeight="false" outlineLevel="0" collapsed="false">
      <c r="A153" s="28" t="str">
        <f aca="false">B153&amp;"|"&amp;C153</f>
        <v>C31302|16</v>
      </c>
      <c r="B153" s="28" t="s">
        <v>62</v>
      </c>
      <c r="C153" s="28" t="n">
        <v>16</v>
      </c>
      <c r="D153" s="28" t="s">
        <v>111</v>
      </c>
      <c r="E153" s="28" t="s">
        <v>112</v>
      </c>
      <c r="F153" s="28" t="s">
        <v>95</v>
      </c>
      <c r="G153" s="29"/>
      <c r="H153" s="29"/>
      <c r="I153" s="28"/>
      <c r="J153" s="28" t="str">
        <f aca="false">INDEX(Turmas!$K:$K,MATCH(B153,Turmas!$M:$M,0))&amp;" | "&amp;INDEX(Turmas!$L:$L,MATCH(B153,Turmas!$M:$M,0))</f>
        <v>CICLO III  -  1º ANO | TARDE</v>
      </c>
    </row>
    <row r="154" customFormat="false" ht="15" hidden="false" customHeight="false" outlineLevel="0" collapsed="false">
      <c r="A154" s="28" t="str">
        <f aca="false">B154&amp;"|"&amp;C154</f>
        <v>C31302|17</v>
      </c>
      <c r="B154" s="28" t="s">
        <v>62</v>
      </c>
      <c r="C154" s="28" t="n">
        <v>17</v>
      </c>
      <c r="D154" s="28" t="s">
        <v>111</v>
      </c>
      <c r="E154" s="28" t="s">
        <v>113</v>
      </c>
      <c r="F154" s="28" t="s">
        <v>95</v>
      </c>
      <c r="G154" s="29"/>
      <c r="H154" s="29"/>
      <c r="I154" s="28"/>
      <c r="J154" s="28" t="str">
        <f aca="false">INDEX(Turmas!$K:$K,MATCH(B154,Turmas!$M:$M,0))&amp;" | "&amp;INDEX(Turmas!$L:$L,MATCH(B154,Turmas!$M:$M,0))</f>
        <v>CICLO III  -  1º ANO | TARDE</v>
      </c>
    </row>
    <row r="155" customFormat="false" ht="15" hidden="false" customHeight="false" outlineLevel="0" collapsed="false">
      <c r="A155" s="28" t="str">
        <f aca="false">B155&amp;"|"&amp;C155</f>
        <v>C31302|18</v>
      </c>
      <c r="B155" s="28" t="s">
        <v>62</v>
      </c>
      <c r="C155" s="28" t="n">
        <v>18</v>
      </c>
      <c r="D155" s="28" t="s">
        <v>111</v>
      </c>
      <c r="E155" s="28" t="s">
        <v>114</v>
      </c>
      <c r="F155" s="28" t="s">
        <v>95</v>
      </c>
      <c r="G155" s="29"/>
      <c r="H155" s="29"/>
      <c r="I155" s="28"/>
      <c r="J155" s="28" t="str">
        <f aca="false">INDEX(Turmas!$K:$K,MATCH(B155,Turmas!$M:$M,0))&amp;" | "&amp;INDEX(Turmas!$L:$L,MATCH(B155,Turmas!$M:$M,0))</f>
        <v>CICLO III  -  1º ANO | TARDE</v>
      </c>
    </row>
    <row r="156" customFormat="false" ht="15" hidden="false" customHeight="false" outlineLevel="0" collapsed="false">
      <c r="A156" s="28" t="str">
        <f aca="false">B156&amp;"|"&amp;C156</f>
        <v>C31302|19</v>
      </c>
      <c r="B156" s="28" t="s">
        <v>62</v>
      </c>
      <c r="C156" s="28" t="n">
        <v>19</v>
      </c>
      <c r="D156" s="28" t="s">
        <v>111</v>
      </c>
      <c r="E156" s="28" t="s">
        <v>115</v>
      </c>
      <c r="F156" s="28" t="s">
        <v>95</v>
      </c>
      <c r="G156" s="29"/>
      <c r="H156" s="29"/>
      <c r="I156" s="28"/>
      <c r="J156" s="28" t="str">
        <f aca="false">INDEX(Turmas!$K:$K,MATCH(B156,Turmas!$M:$M,0))&amp;" | "&amp;INDEX(Turmas!$L:$L,MATCH(B156,Turmas!$M:$M,0))</f>
        <v>CICLO III  -  1º ANO | TARDE</v>
      </c>
    </row>
    <row r="157" customFormat="false" ht="15" hidden="false" customHeight="false" outlineLevel="0" collapsed="false">
      <c r="A157" s="28" t="str">
        <f aca="false">B157&amp;"|"&amp;C157</f>
        <v>C31302|20</v>
      </c>
      <c r="B157" s="28" t="s">
        <v>62</v>
      </c>
      <c r="C157" s="28" t="n">
        <v>20</v>
      </c>
      <c r="D157" s="28" t="s">
        <v>111</v>
      </c>
      <c r="E157" s="28" t="s">
        <v>116</v>
      </c>
      <c r="F157" s="28" t="s">
        <v>95</v>
      </c>
      <c r="G157" s="29"/>
      <c r="H157" s="29"/>
      <c r="I157" s="28"/>
      <c r="J157" s="28" t="str">
        <f aca="false">INDEX(Turmas!$K:$K,MATCH(B157,Turmas!$M:$M,0))&amp;" | "&amp;INDEX(Turmas!$L:$L,MATCH(B157,Turmas!$M:$M,0))</f>
        <v>CICLO III  -  1º ANO | TARDE</v>
      </c>
    </row>
    <row r="158" customFormat="false" ht="15" hidden="false" customHeight="false" outlineLevel="0" collapsed="false">
      <c r="A158" s="28" t="str">
        <f aca="false">B158&amp;"|"&amp;C158</f>
        <v>C31302|21</v>
      </c>
      <c r="B158" s="28" t="s">
        <v>62</v>
      </c>
      <c r="C158" s="28" t="n">
        <v>21</v>
      </c>
      <c r="D158" s="28" t="s">
        <v>111</v>
      </c>
      <c r="E158" s="28" t="s">
        <v>117</v>
      </c>
      <c r="F158" s="28" t="s">
        <v>95</v>
      </c>
      <c r="G158" s="29"/>
      <c r="H158" s="29"/>
      <c r="I158" s="28"/>
      <c r="J158" s="28" t="str">
        <f aca="false">INDEX(Turmas!$K:$K,MATCH(B158,Turmas!$M:$M,0))&amp;" | "&amp;INDEX(Turmas!$L:$L,MATCH(B158,Turmas!$M:$M,0))</f>
        <v>CICLO III  -  1º ANO | TARDE</v>
      </c>
    </row>
    <row r="159" customFormat="false" ht="15" hidden="false" customHeight="false" outlineLevel="0" collapsed="false">
      <c r="A159" s="28" t="str">
        <f aca="false">B159&amp;"|"&amp;C159</f>
        <v>C31302|22</v>
      </c>
      <c r="B159" s="28" t="s">
        <v>62</v>
      </c>
      <c r="C159" s="28" t="n">
        <v>22</v>
      </c>
      <c r="D159" s="28" t="s">
        <v>111</v>
      </c>
      <c r="E159" s="28" t="s">
        <v>118</v>
      </c>
      <c r="F159" s="28" t="s">
        <v>95</v>
      </c>
      <c r="G159" s="29"/>
      <c r="H159" s="29"/>
      <c r="I159" s="28"/>
      <c r="J159" s="28" t="str">
        <f aca="false">INDEX(Turmas!$K:$K,MATCH(B159,Turmas!$M:$M,0))&amp;" | "&amp;INDEX(Turmas!$L:$L,MATCH(B159,Turmas!$M:$M,0))</f>
        <v>CICLO III  -  1º ANO | TARDE</v>
      </c>
    </row>
    <row r="160" customFormat="false" ht="15" hidden="false" customHeight="false" outlineLevel="0" collapsed="false">
      <c r="A160" s="28" t="str">
        <f aca="false">B160&amp;"|"&amp;C160</f>
        <v>C31302|23</v>
      </c>
      <c r="B160" s="28" t="s">
        <v>62</v>
      </c>
      <c r="C160" s="28" t="n">
        <v>23</v>
      </c>
      <c r="D160" s="28" t="s">
        <v>111</v>
      </c>
      <c r="E160" s="28" t="s">
        <v>119</v>
      </c>
      <c r="F160" s="28" t="s">
        <v>95</v>
      </c>
      <c r="G160" s="29"/>
      <c r="H160" s="29"/>
      <c r="I160" s="28"/>
      <c r="J160" s="28" t="str">
        <f aca="false">INDEX(Turmas!$K:$K,MATCH(B160,Turmas!$M:$M,0))&amp;" | "&amp;INDEX(Turmas!$L:$L,MATCH(B160,Turmas!$M:$M,0))</f>
        <v>CICLO III  -  1º ANO | TARDE</v>
      </c>
    </row>
    <row r="161" customFormat="false" ht="15" hidden="false" customHeight="false" outlineLevel="0" collapsed="false">
      <c r="A161" s="28" t="str">
        <f aca="false">B161&amp;"|"&amp;C161</f>
        <v>C31302|24</v>
      </c>
      <c r="B161" s="28" t="s">
        <v>62</v>
      </c>
      <c r="C161" s="28" t="n">
        <v>24</v>
      </c>
      <c r="D161" s="28" t="s">
        <v>111</v>
      </c>
      <c r="E161" s="28" t="s">
        <v>120</v>
      </c>
      <c r="F161" s="28" t="s">
        <v>95</v>
      </c>
      <c r="G161" s="29"/>
      <c r="H161" s="29"/>
      <c r="I161" s="28"/>
      <c r="J161" s="28" t="str">
        <f aca="false">INDEX(Turmas!$K:$K,MATCH(B161,Turmas!$M:$M,0))&amp;" | "&amp;INDEX(Turmas!$L:$L,MATCH(B161,Turmas!$M:$M,0))</f>
        <v>CICLO III  -  1º ANO | TARDE</v>
      </c>
    </row>
    <row r="162" customFormat="false" ht="15" hidden="false" customHeight="false" outlineLevel="0" collapsed="false">
      <c r="A162" s="28" t="str">
        <f aca="false">B162&amp;"|"&amp;C162</f>
        <v>C31302|25</v>
      </c>
      <c r="B162" s="28" t="s">
        <v>62</v>
      </c>
      <c r="C162" s="28" t="n">
        <v>25</v>
      </c>
      <c r="D162" s="28" t="s">
        <v>121</v>
      </c>
      <c r="E162" s="28" t="s">
        <v>122</v>
      </c>
      <c r="F162" s="28" t="s">
        <v>95</v>
      </c>
      <c r="G162" s="29"/>
      <c r="H162" s="29"/>
      <c r="I162" s="28"/>
      <c r="J162" s="28" t="str">
        <f aca="false">INDEX(Turmas!$K:$K,MATCH(B162,Turmas!$M:$M,0))&amp;" | "&amp;INDEX(Turmas!$L:$L,MATCH(B162,Turmas!$M:$M,0))</f>
        <v>CICLO III  -  1º ANO | TARDE</v>
      </c>
    </row>
    <row r="163" customFormat="false" ht="15" hidden="false" customHeight="false" outlineLevel="0" collapsed="false">
      <c r="A163" s="28" t="str">
        <f aca="false">B163&amp;"|"&amp;C163</f>
        <v>C31302|26</v>
      </c>
      <c r="B163" s="28" t="s">
        <v>62</v>
      </c>
      <c r="C163" s="28" t="n">
        <v>26</v>
      </c>
      <c r="D163" s="28" t="s">
        <v>121</v>
      </c>
      <c r="E163" s="28" t="s">
        <v>123</v>
      </c>
      <c r="F163" s="28" t="s">
        <v>95</v>
      </c>
      <c r="G163" s="29"/>
      <c r="H163" s="29"/>
      <c r="I163" s="28"/>
      <c r="J163" s="28" t="str">
        <f aca="false">INDEX(Turmas!$K:$K,MATCH(B163,Turmas!$M:$M,0))&amp;" | "&amp;INDEX(Turmas!$L:$L,MATCH(B163,Turmas!$M:$M,0))</f>
        <v>CICLO III  -  1º ANO | TARDE</v>
      </c>
    </row>
    <row r="164" customFormat="false" ht="15" hidden="false" customHeight="false" outlineLevel="0" collapsed="false">
      <c r="A164" s="28" t="str">
        <f aca="false">B164&amp;"|"&amp;C164</f>
        <v>C31302|27</v>
      </c>
      <c r="B164" s="28" t="s">
        <v>62</v>
      </c>
      <c r="C164" s="28" t="n">
        <v>27</v>
      </c>
      <c r="D164" s="28" t="s">
        <v>121</v>
      </c>
      <c r="E164" s="28" t="s">
        <v>124</v>
      </c>
      <c r="F164" s="28" t="s">
        <v>95</v>
      </c>
      <c r="G164" s="29"/>
      <c r="H164" s="29"/>
      <c r="I164" s="28"/>
      <c r="J164" s="28" t="str">
        <f aca="false">INDEX(Turmas!$K:$K,MATCH(B164,Turmas!$M:$M,0))&amp;" | "&amp;INDEX(Turmas!$L:$L,MATCH(B164,Turmas!$M:$M,0))</f>
        <v>CICLO III  -  1º ANO | TARDE</v>
      </c>
    </row>
    <row r="165" customFormat="false" ht="15" hidden="false" customHeight="false" outlineLevel="0" collapsed="false">
      <c r="A165" s="28" t="str">
        <f aca="false">B165&amp;"|"&amp;C165</f>
        <v>C31302|28</v>
      </c>
      <c r="B165" s="28" t="s">
        <v>62</v>
      </c>
      <c r="C165" s="28" t="n">
        <v>28</v>
      </c>
      <c r="D165" s="28" t="s">
        <v>121</v>
      </c>
      <c r="E165" s="28" t="s">
        <v>125</v>
      </c>
      <c r="F165" s="28" t="s">
        <v>95</v>
      </c>
      <c r="G165" s="29"/>
      <c r="H165" s="29"/>
      <c r="I165" s="28"/>
      <c r="J165" s="28" t="str">
        <f aca="false">INDEX(Turmas!$K:$K,MATCH(B165,Turmas!$M:$M,0))&amp;" | "&amp;INDEX(Turmas!$L:$L,MATCH(B165,Turmas!$M:$M,0))</f>
        <v>CICLO III  -  1º ANO | TARDE</v>
      </c>
    </row>
    <row r="166" customFormat="false" ht="15" hidden="false" customHeight="false" outlineLevel="0" collapsed="false">
      <c r="A166" s="28" t="str">
        <f aca="false">B166&amp;"|"&amp;C166</f>
        <v>C31302|29</v>
      </c>
      <c r="B166" s="28" t="s">
        <v>62</v>
      </c>
      <c r="C166" s="28" t="n">
        <v>29</v>
      </c>
      <c r="D166" s="28" t="s">
        <v>121</v>
      </c>
      <c r="E166" s="28" t="s">
        <v>126</v>
      </c>
      <c r="F166" s="28" t="s">
        <v>95</v>
      </c>
      <c r="G166" s="29"/>
      <c r="H166" s="29"/>
      <c r="I166" s="28"/>
      <c r="J166" s="28" t="str">
        <f aca="false">INDEX(Turmas!$K:$K,MATCH(B166,Turmas!$M:$M,0))&amp;" | "&amp;INDEX(Turmas!$L:$L,MATCH(B166,Turmas!$M:$M,0))</f>
        <v>CICLO III  -  1º ANO | TARDE</v>
      </c>
    </row>
    <row r="167" customFormat="false" ht="15" hidden="false" customHeight="false" outlineLevel="0" collapsed="false">
      <c r="A167" s="28" t="str">
        <f aca="false">B167&amp;"|"&amp;C167</f>
        <v>C31302|30</v>
      </c>
      <c r="B167" s="28" t="s">
        <v>62</v>
      </c>
      <c r="C167" s="28" t="n">
        <v>30</v>
      </c>
      <c r="D167" s="28" t="s">
        <v>127</v>
      </c>
      <c r="E167" s="28" t="s">
        <v>128</v>
      </c>
      <c r="F167" s="28" t="s">
        <v>95</v>
      </c>
      <c r="G167" s="29"/>
      <c r="H167" s="29"/>
      <c r="I167" s="28"/>
      <c r="J167" s="28" t="str">
        <f aca="false">INDEX(Turmas!$K:$K,MATCH(B167,Turmas!$M:$M,0))&amp;" | "&amp;INDEX(Turmas!$L:$L,MATCH(B167,Turmas!$M:$M,0))</f>
        <v>CICLO III  -  1º ANO | TARDE</v>
      </c>
    </row>
    <row r="168" customFormat="false" ht="15" hidden="false" customHeight="false" outlineLevel="0" collapsed="false">
      <c r="A168" s="28" t="str">
        <f aca="false">B168&amp;"|"&amp;C168</f>
        <v>C31302|31</v>
      </c>
      <c r="B168" s="28" t="s">
        <v>62</v>
      </c>
      <c r="C168" s="28" t="n">
        <v>31</v>
      </c>
      <c r="D168" s="28" t="s">
        <v>127</v>
      </c>
      <c r="E168" s="28" t="s">
        <v>108</v>
      </c>
      <c r="F168" s="28" t="s">
        <v>95</v>
      </c>
      <c r="G168" s="29"/>
      <c r="H168" s="29"/>
      <c r="I168" s="28"/>
      <c r="J168" s="28" t="str">
        <f aca="false">INDEX(Turmas!$K:$K,MATCH(B168,Turmas!$M:$M,0))&amp;" | "&amp;INDEX(Turmas!$L:$L,MATCH(B168,Turmas!$M:$M,0))</f>
        <v>CICLO III  -  1º ANO | TARDE</v>
      </c>
    </row>
    <row r="169" customFormat="false" ht="15" hidden="false" customHeight="false" outlineLevel="0" collapsed="false">
      <c r="A169" s="28" t="str">
        <f aca="false">B169&amp;"|"&amp;C169</f>
        <v>C31302|32</v>
      </c>
      <c r="B169" s="28" t="s">
        <v>62</v>
      </c>
      <c r="C169" s="28" t="n">
        <v>32</v>
      </c>
      <c r="D169" s="28" t="s">
        <v>127</v>
      </c>
      <c r="E169" s="28" t="s">
        <v>129</v>
      </c>
      <c r="F169" s="28" t="s">
        <v>95</v>
      </c>
      <c r="G169" s="29"/>
      <c r="H169" s="29"/>
      <c r="I169" s="28"/>
      <c r="J169" s="28" t="str">
        <f aca="false">INDEX(Turmas!$K:$K,MATCH(B169,Turmas!$M:$M,0))&amp;" | "&amp;INDEX(Turmas!$L:$L,MATCH(B169,Turmas!$M:$M,0))</f>
        <v>CICLO III  -  1º ANO | TARDE</v>
      </c>
    </row>
    <row r="170" customFormat="false" ht="15" hidden="false" customHeight="false" outlineLevel="0" collapsed="false">
      <c r="A170" s="28" t="str">
        <f aca="false">B170&amp;"|"&amp;C170</f>
        <v>C31302|33</v>
      </c>
      <c r="B170" s="28" t="s">
        <v>62</v>
      </c>
      <c r="C170" s="28" t="n">
        <v>33</v>
      </c>
      <c r="D170" s="28" t="s">
        <v>127</v>
      </c>
      <c r="E170" s="28" t="s">
        <v>130</v>
      </c>
      <c r="F170" s="28" t="s">
        <v>95</v>
      </c>
      <c r="G170" s="29"/>
      <c r="H170" s="29"/>
      <c r="I170" s="28"/>
      <c r="J170" s="28" t="str">
        <f aca="false">INDEX(Turmas!$K:$K,MATCH(B170,Turmas!$M:$M,0))&amp;" | "&amp;INDEX(Turmas!$L:$L,MATCH(B170,Turmas!$M:$M,0))</f>
        <v>CICLO III  -  1º ANO | TARDE</v>
      </c>
    </row>
    <row r="171" customFormat="false" ht="15" hidden="false" customHeight="false" outlineLevel="0" collapsed="false">
      <c r="A171" s="28" t="str">
        <f aca="false">B171&amp;"|"&amp;C171</f>
        <v>C31302|34</v>
      </c>
      <c r="B171" s="28" t="s">
        <v>62</v>
      </c>
      <c r="C171" s="28" t="n">
        <v>34</v>
      </c>
      <c r="D171" s="28" t="s">
        <v>127</v>
      </c>
      <c r="E171" s="28" t="s">
        <v>131</v>
      </c>
      <c r="F171" s="28" t="s">
        <v>95</v>
      </c>
      <c r="G171" s="29"/>
      <c r="H171" s="29"/>
      <c r="I171" s="28"/>
      <c r="J171" s="28" t="str">
        <f aca="false">INDEX(Turmas!$K:$K,MATCH(B171,Turmas!$M:$M,0))&amp;" | "&amp;INDEX(Turmas!$L:$L,MATCH(B171,Turmas!$M:$M,0))</f>
        <v>CICLO III  -  1º ANO | TARDE</v>
      </c>
    </row>
    <row r="172" customFormat="false" ht="15" hidden="false" customHeight="false" outlineLevel="0" collapsed="false">
      <c r="A172" s="28" t="str">
        <f aca="false">B172&amp;"|"&amp;C172</f>
        <v>C31301|1</v>
      </c>
      <c r="B172" s="28" t="s">
        <v>63</v>
      </c>
      <c r="C172" s="28" t="n">
        <v>1</v>
      </c>
      <c r="D172" s="28" t="s">
        <v>93</v>
      </c>
      <c r="E172" s="28" t="s">
        <v>94</v>
      </c>
      <c r="F172" s="28" t="s">
        <v>95</v>
      </c>
      <c r="G172" s="29"/>
      <c r="H172" s="29"/>
      <c r="I172" s="28"/>
      <c r="J172" s="28" t="str">
        <f aca="false">INDEX(Turmas!$K:$K,MATCH(B172,Turmas!$M:$M,0))&amp;" | "&amp;INDEX(Turmas!$L:$L,MATCH(B172,Turmas!$M:$M,0))</f>
        <v>CICLO III  -  1º ANO | TARDE</v>
      </c>
    </row>
    <row r="173" customFormat="false" ht="15" hidden="false" customHeight="false" outlineLevel="0" collapsed="false">
      <c r="A173" s="28" t="str">
        <f aca="false">B173&amp;"|"&amp;C173</f>
        <v>C31301|2</v>
      </c>
      <c r="B173" s="28" t="s">
        <v>63</v>
      </c>
      <c r="C173" s="28" t="n">
        <v>2</v>
      </c>
      <c r="D173" s="28" t="s">
        <v>93</v>
      </c>
      <c r="E173" s="28" t="s">
        <v>96</v>
      </c>
      <c r="F173" s="28" t="s">
        <v>95</v>
      </c>
      <c r="G173" s="29"/>
      <c r="H173" s="29"/>
      <c r="I173" s="28"/>
      <c r="J173" s="28" t="str">
        <f aca="false">INDEX(Turmas!$K:$K,MATCH(B173,Turmas!$M:$M,0))&amp;" | "&amp;INDEX(Turmas!$L:$L,MATCH(B173,Turmas!$M:$M,0))</f>
        <v>CICLO III  -  1º ANO | TARDE</v>
      </c>
    </row>
    <row r="174" customFormat="false" ht="15" hidden="false" customHeight="false" outlineLevel="0" collapsed="false">
      <c r="A174" s="28" t="str">
        <f aca="false">B174&amp;"|"&amp;C174</f>
        <v>C31301|3</v>
      </c>
      <c r="B174" s="28" t="s">
        <v>63</v>
      </c>
      <c r="C174" s="28" t="n">
        <v>3</v>
      </c>
      <c r="D174" s="28" t="s">
        <v>93</v>
      </c>
      <c r="E174" s="28" t="s">
        <v>97</v>
      </c>
      <c r="F174" s="28" t="s">
        <v>95</v>
      </c>
      <c r="G174" s="29"/>
      <c r="H174" s="29"/>
      <c r="I174" s="28"/>
      <c r="J174" s="28" t="str">
        <f aca="false">INDEX(Turmas!$K:$K,MATCH(B174,Turmas!$M:$M,0))&amp;" | "&amp;INDEX(Turmas!$L:$L,MATCH(B174,Turmas!$M:$M,0))</f>
        <v>CICLO III  -  1º ANO | TARDE</v>
      </c>
    </row>
    <row r="175" customFormat="false" ht="15" hidden="false" customHeight="false" outlineLevel="0" collapsed="false">
      <c r="A175" s="28" t="str">
        <f aca="false">B175&amp;"|"&amp;C175</f>
        <v>C31301|4</v>
      </c>
      <c r="B175" s="28" t="s">
        <v>63</v>
      </c>
      <c r="C175" s="28" t="n">
        <v>4</v>
      </c>
      <c r="D175" s="28" t="s">
        <v>93</v>
      </c>
      <c r="E175" s="28" t="s">
        <v>98</v>
      </c>
      <c r="F175" s="28" t="s">
        <v>95</v>
      </c>
      <c r="G175" s="29"/>
      <c r="H175" s="29"/>
      <c r="I175" s="28"/>
      <c r="J175" s="28" t="str">
        <f aca="false">INDEX(Turmas!$K:$K,MATCH(B175,Turmas!$M:$M,0))&amp;" | "&amp;INDEX(Turmas!$L:$L,MATCH(B175,Turmas!$M:$M,0))</f>
        <v>CICLO III  -  1º ANO | TARDE</v>
      </c>
    </row>
    <row r="176" customFormat="false" ht="15" hidden="false" customHeight="false" outlineLevel="0" collapsed="false">
      <c r="A176" s="28" t="str">
        <f aca="false">B176&amp;"|"&amp;C176</f>
        <v>C31301|5</v>
      </c>
      <c r="B176" s="28" t="s">
        <v>63</v>
      </c>
      <c r="C176" s="28" t="n">
        <v>5</v>
      </c>
      <c r="D176" s="28" t="s">
        <v>93</v>
      </c>
      <c r="E176" s="28" t="s">
        <v>99</v>
      </c>
      <c r="F176" s="28" t="s">
        <v>95</v>
      </c>
      <c r="G176" s="29"/>
      <c r="H176" s="29"/>
      <c r="I176" s="28"/>
      <c r="J176" s="28" t="str">
        <f aca="false">INDEX(Turmas!$K:$K,MATCH(B176,Turmas!$M:$M,0))&amp;" | "&amp;INDEX(Turmas!$L:$L,MATCH(B176,Turmas!$M:$M,0))</f>
        <v>CICLO III  -  1º ANO | TARDE</v>
      </c>
    </row>
    <row r="177" customFormat="false" ht="15" hidden="false" customHeight="false" outlineLevel="0" collapsed="false">
      <c r="A177" s="28" t="str">
        <f aca="false">B177&amp;"|"&amp;C177</f>
        <v>C31301|6</v>
      </c>
      <c r="B177" s="28" t="s">
        <v>63</v>
      </c>
      <c r="C177" s="28" t="n">
        <v>6</v>
      </c>
      <c r="D177" s="28" t="s">
        <v>93</v>
      </c>
      <c r="E177" s="28" t="s">
        <v>100</v>
      </c>
      <c r="F177" s="28" t="s">
        <v>95</v>
      </c>
      <c r="G177" s="29"/>
      <c r="H177" s="29"/>
      <c r="I177" s="28"/>
      <c r="J177" s="28" t="str">
        <f aca="false">INDEX(Turmas!$K:$K,MATCH(B177,Turmas!$M:$M,0))&amp;" | "&amp;INDEX(Turmas!$L:$L,MATCH(B177,Turmas!$M:$M,0))</f>
        <v>CICLO III  -  1º ANO | TARDE</v>
      </c>
    </row>
    <row r="178" customFormat="false" ht="15" hidden="false" customHeight="false" outlineLevel="0" collapsed="false">
      <c r="A178" s="28" t="str">
        <f aca="false">B178&amp;"|"&amp;C178</f>
        <v>C31301|7</v>
      </c>
      <c r="B178" s="28" t="s">
        <v>63</v>
      </c>
      <c r="C178" s="28" t="n">
        <v>7</v>
      </c>
      <c r="D178" s="28" t="s">
        <v>93</v>
      </c>
      <c r="E178" s="28" t="s">
        <v>101</v>
      </c>
      <c r="F178" s="28" t="s">
        <v>95</v>
      </c>
      <c r="G178" s="29"/>
      <c r="H178" s="29"/>
      <c r="I178" s="28"/>
      <c r="J178" s="28" t="str">
        <f aca="false">INDEX(Turmas!$K:$K,MATCH(B178,Turmas!$M:$M,0))&amp;" | "&amp;INDEX(Turmas!$L:$L,MATCH(B178,Turmas!$M:$M,0))</f>
        <v>CICLO III  -  1º ANO | TARDE</v>
      </c>
    </row>
    <row r="179" customFormat="false" ht="15" hidden="false" customHeight="false" outlineLevel="0" collapsed="false">
      <c r="A179" s="28" t="str">
        <f aca="false">B179&amp;"|"&amp;C179</f>
        <v>C31301|8</v>
      </c>
      <c r="B179" s="28" t="s">
        <v>63</v>
      </c>
      <c r="C179" s="28" t="n">
        <v>8</v>
      </c>
      <c r="D179" s="28" t="s">
        <v>102</v>
      </c>
      <c r="E179" s="28" t="s">
        <v>103</v>
      </c>
      <c r="F179" s="28" t="s">
        <v>95</v>
      </c>
      <c r="G179" s="29"/>
      <c r="H179" s="29"/>
      <c r="I179" s="28"/>
      <c r="J179" s="28" t="str">
        <f aca="false">INDEX(Turmas!$K:$K,MATCH(B179,Turmas!$M:$M,0))&amp;" | "&amp;INDEX(Turmas!$L:$L,MATCH(B179,Turmas!$M:$M,0))</f>
        <v>CICLO III  -  1º ANO | TARDE</v>
      </c>
    </row>
    <row r="180" customFormat="false" ht="15" hidden="false" customHeight="false" outlineLevel="0" collapsed="false">
      <c r="A180" s="28" t="str">
        <f aca="false">B180&amp;"|"&amp;C180</f>
        <v>C31301|9</v>
      </c>
      <c r="B180" s="28" t="s">
        <v>63</v>
      </c>
      <c r="C180" s="28" t="n">
        <v>9</v>
      </c>
      <c r="D180" s="28" t="s">
        <v>102</v>
      </c>
      <c r="E180" s="28" t="s">
        <v>104</v>
      </c>
      <c r="F180" s="28" t="s">
        <v>95</v>
      </c>
      <c r="G180" s="29"/>
      <c r="H180" s="29"/>
      <c r="I180" s="28"/>
      <c r="J180" s="28" t="str">
        <f aca="false">INDEX(Turmas!$K:$K,MATCH(B180,Turmas!$M:$M,0))&amp;" | "&amp;INDEX(Turmas!$L:$L,MATCH(B180,Turmas!$M:$M,0))</f>
        <v>CICLO III  -  1º ANO | TARDE</v>
      </c>
    </row>
    <row r="181" customFormat="false" ht="15" hidden="false" customHeight="false" outlineLevel="0" collapsed="false">
      <c r="A181" s="28" t="str">
        <f aca="false">B181&amp;"|"&amp;C181</f>
        <v>C31301|10</v>
      </c>
      <c r="B181" s="28" t="s">
        <v>63</v>
      </c>
      <c r="C181" s="28" t="n">
        <v>10</v>
      </c>
      <c r="D181" s="28" t="s">
        <v>102</v>
      </c>
      <c r="E181" s="28" t="s">
        <v>105</v>
      </c>
      <c r="F181" s="28" t="s">
        <v>95</v>
      </c>
      <c r="G181" s="29"/>
      <c r="H181" s="29"/>
      <c r="I181" s="28"/>
      <c r="J181" s="28" t="str">
        <f aca="false">INDEX(Turmas!$K:$K,MATCH(B181,Turmas!$M:$M,0))&amp;" | "&amp;INDEX(Turmas!$L:$L,MATCH(B181,Turmas!$M:$M,0))</f>
        <v>CICLO III  -  1º ANO | TARDE</v>
      </c>
    </row>
    <row r="182" customFormat="false" ht="15" hidden="false" customHeight="false" outlineLevel="0" collapsed="false">
      <c r="A182" s="28" t="str">
        <f aca="false">B182&amp;"|"&amp;C182</f>
        <v>C31301|11</v>
      </c>
      <c r="B182" s="28" t="s">
        <v>63</v>
      </c>
      <c r="C182" s="28" t="n">
        <v>11</v>
      </c>
      <c r="D182" s="28" t="s">
        <v>102</v>
      </c>
      <c r="E182" s="28" t="s">
        <v>106</v>
      </c>
      <c r="F182" s="28" t="s">
        <v>95</v>
      </c>
      <c r="G182" s="29"/>
      <c r="H182" s="29"/>
      <c r="I182" s="28"/>
      <c r="J182" s="28" t="str">
        <f aca="false">INDEX(Turmas!$K:$K,MATCH(B182,Turmas!$M:$M,0))&amp;" | "&amp;INDEX(Turmas!$L:$L,MATCH(B182,Turmas!$M:$M,0))</f>
        <v>CICLO III  -  1º ANO | TARDE</v>
      </c>
    </row>
    <row r="183" customFormat="false" ht="15" hidden="false" customHeight="false" outlineLevel="0" collapsed="false">
      <c r="A183" s="28" t="str">
        <f aca="false">B183&amp;"|"&amp;C183</f>
        <v>C31301|12</v>
      </c>
      <c r="B183" s="28" t="s">
        <v>63</v>
      </c>
      <c r="C183" s="28" t="n">
        <v>12</v>
      </c>
      <c r="D183" s="28" t="s">
        <v>102</v>
      </c>
      <c r="E183" s="28" t="s">
        <v>107</v>
      </c>
      <c r="F183" s="28" t="s">
        <v>95</v>
      </c>
      <c r="G183" s="29"/>
      <c r="H183" s="29"/>
      <c r="I183" s="28"/>
      <c r="J183" s="28" t="str">
        <f aca="false">INDEX(Turmas!$K:$K,MATCH(B183,Turmas!$M:$M,0))&amp;" | "&amp;INDEX(Turmas!$L:$L,MATCH(B183,Turmas!$M:$M,0))</f>
        <v>CICLO III  -  1º ANO | TARDE</v>
      </c>
    </row>
    <row r="184" customFormat="false" ht="15" hidden="false" customHeight="false" outlineLevel="0" collapsed="false">
      <c r="A184" s="28" t="str">
        <f aca="false">B184&amp;"|"&amp;C184</f>
        <v>C31301|13</v>
      </c>
      <c r="B184" s="28" t="s">
        <v>63</v>
      </c>
      <c r="C184" s="28" t="n">
        <v>13</v>
      </c>
      <c r="D184" s="28" t="s">
        <v>102</v>
      </c>
      <c r="E184" s="28" t="s">
        <v>108</v>
      </c>
      <c r="F184" s="28" t="s">
        <v>95</v>
      </c>
      <c r="G184" s="29"/>
      <c r="H184" s="29"/>
      <c r="I184" s="28"/>
      <c r="J184" s="28" t="str">
        <f aca="false">INDEX(Turmas!$K:$K,MATCH(B184,Turmas!$M:$M,0))&amp;" | "&amp;INDEX(Turmas!$L:$L,MATCH(B184,Turmas!$M:$M,0))</f>
        <v>CICLO III  -  1º ANO | TARDE</v>
      </c>
    </row>
    <row r="185" customFormat="false" ht="15" hidden="false" customHeight="false" outlineLevel="0" collapsed="false">
      <c r="A185" s="28" t="str">
        <f aca="false">B185&amp;"|"&amp;C185</f>
        <v>C31301|14</v>
      </c>
      <c r="B185" s="28" t="s">
        <v>63</v>
      </c>
      <c r="C185" s="28" t="n">
        <v>14</v>
      </c>
      <c r="D185" s="28" t="s">
        <v>102</v>
      </c>
      <c r="E185" s="28" t="s">
        <v>109</v>
      </c>
      <c r="F185" s="28" t="s">
        <v>95</v>
      </c>
      <c r="G185" s="29"/>
      <c r="H185" s="29"/>
      <c r="I185" s="28"/>
      <c r="J185" s="28" t="str">
        <f aca="false">INDEX(Turmas!$K:$K,MATCH(B185,Turmas!$M:$M,0))&amp;" | "&amp;INDEX(Turmas!$L:$L,MATCH(B185,Turmas!$M:$M,0))</f>
        <v>CICLO III  -  1º ANO | TARDE</v>
      </c>
    </row>
    <row r="186" customFormat="false" ht="15" hidden="false" customHeight="false" outlineLevel="0" collapsed="false">
      <c r="A186" s="28" t="str">
        <f aca="false">B186&amp;"|"&amp;C186</f>
        <v>C31301|15</v>
      </c>
      <c r="B186" s="28" t="s">
        <v>63</v>
      </c>
      <c r="C186" s="28" t="n">
        <v>15</v>
      </c>
      <c r="D186" s="28" t="s">
        <v>102</v>
      </c>
      <c r="E186" s="28" t="s">
        <v>110</v>
      </c>
      <c r="F186" s="28" t="s">
        <v>95</v>
      </c>
      <c r="G186" s="29"/>
      <c r="H186" s="29"/>
      <c r="I186" s="28"/>
      <c r="J186" s="28" t="str">
        <f aca="false">INDEX(Turmas!$K:$K,MATCH(B186,Turmas!$M:$M,0))&amp;" | "&amp;INDEX(Turmas!$L:$L,MATCH(B186,Turmas!$M:$M,0))</f>
        <v>CICLO III  -  1º ANO | TARDE</v>
      </c>
    </row>
    <row r="187" customFormat="false" ht="15" hidden="false" customHeight="false" outlineLevel="0" collapsed="false">
      <c r="A187" s="28" t="str">
        <f aca="false">B187&amp;"|"&amp;C187</f>
        <v>C31301|16</v>
      </c>
      <c r="B187" s="28" t="s">
        <v>63</v>
      </c>
      <c r="C187" s="28" t="n">
        <v>16</v>
      </c>
      <c r="D187" s="28" t="s">
        <v>111</v>
      </c>
      <c r="E187" s="28" t="s">
        <v>112</v>
      </c>
      <c r="F187" s="28" t="s">
        <v>95</v>
      </c>
      <c r="G187" s="29"/>
      <c r="H187" s="29"/>
      <c r="I187" s="28"/>
      <c r="J187" s="28" t="str">
        <f aca="false">INDEX(Turmas!$K:$K,MATCH(B187,Turmas!$M:$M,0))&amp;" | "&amp;INDEX(Turmas!$L:$L,MATCH(B187,Turmas!$M:$M,0))</f>
        <v>CICLO III  -  1º ANO | TARDE</v>
      </c>
    </row>
    <row r="188" customFormat="false" ht="15" hidden="false" customHeight="false" outlineLevel="0" collapsed="false">
      <c r="A188" s="28" t="str">
        <f aca="false">B188&amp;"|"&amp;C188</f>
        <v>C31301|17</v>
      </c>
      <c r="B188" s="28" t="s">
        <v>63</v>
      </c>
      <c r="C188" s="28" t="n">
        <v>17</v>
      </c>
      <c r="D188" s="28" t="s">
        <v>111</v>
      </c>
      <c r="E188" s="28" t="s">
        <v>113</v>
      </c>
      <c r="F188" s="28" t="s">
        <v>95</v>
      </c>
      <c r="G188" s="29"/>
      <c r="H188" s="29"/>
      <c r="I188" s="28"/>
      <c r="J188" s="28" t="str">
        <f aca="false">INDEX(Turmas!$K:$K,MATCH(B188,Turmas!$M:$M,0))&amp;" | "&amp;INDEX(Turmas!$L:$L,MATCH(B188,Turmas!$M:$M,0))</f>
        <v>CICLO III  -  1º ANO | TARDE</v>
      </c>
    </row>
    <row r="189" customFormat="false" ht="15" hidden="false" customHeight="false" outlineLevel="0" collapsed="false">
      <c r="A189" s="28" t="str">
        <f aca="false">B189&amp;"|"&amp;C189</f>
        <v>C31301|18</v>
      </c>
      <c r="B189" s="28" t="s">
        <v>63</v>
      </c>
      <c r="C189" s="28" t="n">
        <v>18</v>
      </c>
      <c r="D189" s="28" t="s">
        <v>111</v>
      </c>
      <c r="E189" s="28" t="s">
        <v>114</v>
      </c>
      <c r="F189" s="28" t="s">
        <v>95</v>
      </c>
      <c r="G189" s="29"/>
      <c r="H189" s="29"/>
      <c r="I189" s="28"/>
      <c r="J189" s="28" t="str">
        <f aca="false">INDEX(Turmas!$K:$K,MATCH(B189,Turmas!$M:$M,0))&amp;" | "&amp;INDEX(Turmas!$L:$L,MATCH(B189,Turmas!$M:$M,0))</f>
        <v>CICLO III  -  1º ANO | TARDE</v>
      </c>
    </row>
    <row r="190" customFormat="false" ht="15" hidden="false" customHeight="false" outlineLevel="0" collapsed="false">
      <c r="A190" s="28" t="str">
        <f aca="false">B190&amp;"|"&amp;C190</f>
        <v>C31301|19</v>
      </c>
      <c r="B190" s="28" t="s">
        <v>63</v>
      </c>
      <c r="C190" s="28" t="n">
        <v>19</v>
      </c>
      <c r="D190" s="28" t="s">
        <v>111</v>
      </c>
      <c r="E190" s="28" t="s">
        <v>115</v>
      </c>
      <c r="F190" s="28" t="s">
        <v>95</v>
      </c>
      <c r="G190" s="29"/>
      <c r="H190" s="29"/>
      <c r="I190" s="28"/>
      <c r="J190" s="28" t="str">
        <f aca="false">INDEX(Turmas!$K:$K,MATCH(B190,Turmas!$M:$M,0))&amp;" | "&amp;INDEX(Turmas!$L:$L,MATCH(B190,Turmas!$M:$M,0))</f>
        <v>CICLO III  -  1º ANO | TARDE</v>
      </c>
    </row>
    <row r="191" customFormat="false" ht="15" hidden="false" customHeight="false" outlineLevel="0" collapsed="false">
      <c r="A191" s="28" t="str">
        <f aca="false">B191&amp;"|"&amp;C191</f>
        <v>C31301|20</v>
      </c>
      <c r="B191" s="28" t="s">
        <v>63</v>
      </c>
      <c r="C191" s="28" t="n">
        <v>20</v>
      </c>
      <c r="D191" s="28" t="s">
        <v>111</v>
      </c>
      <c r="E191" s="28" t="s">
        <v>116</v>
      </c>
      <c r="F191" s="28" t="s">
        <v>95</v>
      </c>
      <c r="G191" s="29"/>
      <c r="H191" s="29"/>
      <c r="I191" s="28"/>
      <c r="J191" s="28" t="str">
        <f aca="false">INDEX(Turmas!$K:$K,MATCH(B191,Turmas!$M:$M,0))&amp;" | "&amp;INDEX(Turmas!$L:$L,MATCH(B191,Turmas!$M:$M,0))</f>
        <v>CICLO III  -  1º ANO | TARDE</v>
      </c>
    </row>
    <row r="192" customFormat="false" ht="15" hidden="false" customHeight="false" outlineLevel="0" collapsed="false">
      <c r="A192" s="28" t="str">
        <f aca="false">B192&amp;"|"&amp;C192</f>
        <v>C31301|21</v>
      </c>
      <c r="B192" s="28" t="s">
        <v>63</v>
      </c>
      <c r="C192" s="28" t="n">
        <v>21</v>
      </c>
      <c r="D192" s="28" t="s">
        <v>111</v>
      </c>
      <c r="E192" s="28" t="s">
        <v>117</v>
      </c>
      <c r="F192" s="28" t="s">
        <v>95</v>
      </c>
      <c r="G192" s="29"/>
      <c r="H192" s="29"/>
      <c r="I192" s="28"/>
      <c r="J192" s="28" t="str">
        <f aca="false">INDEX(Turmas!$K:$K,MATCH(B192,Turmas!$M:$M,0))&amp;" | "&amp;INDEX(Turmas!$L:$L,MATCH(B192,Turmas!$M:$M,0))</f>
        <v>CICLO III  -  1º ANO | TARDE</v>
      </c>
    </row>
    <row r="193" customFormat="false" ht="15" hidden="false" customHeight="false" outlineLevel="0" collapsed="false">
      <c r="A193" s="28" t="str">
        <f aca="false">B193&amp;"|"&amp;C193</f>
        <v>C31301|22</v>
      </c>
      <c r="B193" s="28" t="s">
        <v>63</v>
      </c>
      <c r="C193" s="28" t="n">
        <v>22</v>
      </c>
      <c r="D193" s="28" t="s">
        <v>111</v>
      </c>
      <c r="E193" s="28" t="s">
        <v>118</v>
      </c>
      <c r="F193" s="28" t="s">
        <v>95</v>
      </c>
      <c r="G193" s="29"/>
      <c r="H193" s="29"/>
      <c r="I193" s="28"/>
      <c r="J193" s="28" t="str">
        <f aca="false">INDEX(Turmas!$K:$K,MATCH(B193,Turmas!$M:$M,0))&amp;" | "&amp;INDEX(Turmas!$L:$L,MATCH(B193,Turmas!$M:$M,0))</f>
        <v>CICLO III  -  1º ANO | TARDE</v>
      </c>
    </row>
    <row r="194" customFormat="false" ht="15" hidden="false" customHeight="false" outlineLevel="0" collapsed="false">
      <c r="A194" s="28" t="str">
        <f aca="false">B194&amp;"|"&amp;C194</f>
        <v>C31301|23</v>
      </c>
      <c r="B194" s="28" t="s">
        <v>63</v>
      </c>
      <c r="C194" s="28" t="n">
        <v>23</v>
      </c>
      <c r="D194" s="28" t="s">
        <v>111</v>
      </c>
      <c r="E194" s="28" t="s">
        <v>119</v>
      </c>
      <c r="F194" s="28" t="s">
        <v>95</v>
      </c>
      <c r="G194" s="29"/>
      <c r="H194" s="29"/>
      <c r="I194" s="28"/>
      <c r="J194" s="28" t="str">
        <f aca="false">INDEX(Turmas!$K:$K,MATCH(B194,Turmas!$M:$M,0))&amp;" | "&amp;INDEX(Turmas!$L:$L,MATCH(B194,Turmas!$M:$M,0))</f>
        <v>CICLO III  -  1º ANO | TARDE</v>
      </c>
    </row>
    <row r="195" customFormat="false" ht="15" hidden="false" customHeight="false" outlineLevel="0" collapsed="false">
      <c r="A195" s="28" t="str">
        <f aca="false">B195&amp;"|"&amp;C195</f>
        <v>C31301|24</v>
      </c>
      <c r="B195" s="28" t="s">
        <v>63</v>
      </c>
      <c r="C195" s="28" t="n">
        <v>24</v>
      </c>
      <c r="D195" s="28" t="s">
        <v>111</v>
      </c>
      <c r="E195" s="28" t="s">
        <v>120</v>
      </c>
      <c r="F195" s="28" t="s">
        <v>95</v>
      </c>
      <c r="G195" s="29"/>
      <c r="H195" s="29"/>
      <c r="I195" s="28"/>
      <c r="J195" s="28" t="str">
        <f aca="false">INDEX(Turmas!$K:$K,MATCH(B195,Turmas!$M:$M,0))&amp;" | "&amp;INDEX(Turmas!$L:$L,MATCH(B195,Turmas!$M:$M,0))</f>
        <v>CICLO III  -  1º ANO | TARDE</v>
      </c>
    </row>
    <row r="196" customFormat="false" ht="15" hidden="false" customHeight="false" outlineLevel="0" collapsed="false">
      <c r="A196" s="28" t="str">
        <f aca="false">B196&amp;"|"&amp;C196</f>
        <v>C31301|25</v>
      </c>
      <c r="B196" s="28" t="s">
        <v>63</v>
      </c>
      <c r="C196" s="28" t="n">
        <v>25</v>
      </c>
      <c r="D196" s="28" t="s">
        <v>121</v>
      </c>
      <c r="E196" s="28" t="s">
        <v>122</v>
      </c>
      <c r="F196" s="28" t="s">
        <v>95</v>
      </c>
      <c r="G196" s="29"/>
      <c r="H196" s="29"/>
      <c r="I196" s="28"/>
      <c r="J196" s="28" t="str">
        <f aca="false">INDEX(Turmas!$K:$K,MATCH(B196,Turmas!$M:$M,0))&amp;" | "&amp;INDEX(Turmas!$L:$L,MATCH(B196,Turmas!$M:$M,0))</f>
        <v>CICLO III  -  1º ANO | TARDE</v>
      </c>
    </row>
    <row r="197" customFormat="false" ht="15" hidden="false" customHeight="false" outlineLevel="0" collapsed="false">
      <c r="A197" s="28" t="str">
        <f aca="false">B197&amp;"|"&amp;C197</f>
        <v>C31301|26</v>
      </c>
      <c r="B197" s="28" t="s">
        <v>63</v>
      </c>
      <c r="C197" s="28" t="n">
        <v>26</v>
      </c>
      <c r="D197" s="28" t="s">
        <v>121</v>
      </c>
      <c r="E197" s="28" t="s">
        <v>123</v>
      </c>
      <c r="F197" s="28" t="s">
        <v>95</v>
      </c>
      <c r="G197" s="29"/>
      <c r="H197" s="29"/>
      <c r="I197" s="28"/>
      <c r="J197" s="28" t="str">
        <f aca="false">INDEX(Turmas!$K:$K,MATCH(B197,Turmas!$M:$M,0))&amp;" | "&amp;INDEX(Turmas!$L:$L,MATCH(B197,Turmas!$M:$M,0))</f>
        <v>CICLO III  -  1º ANO | TARDE</v>
      </c>
    </row>
    <row r="198" customFormat="false" ht="15" hidden="false" customHeight="false" outlineLevel="0" collapsed="false">
      <c r="A198" s="28" t="str">
        <f aca="false">B198&amp;"|"&amp;C198</f>
        <v>C31301|27</v>
      </c>
      <c r="B198" s="28" t="s">
        <v>63</v>
      </c>
      <c r="C198" s="28" t="n">
        <v>27</v>
      </c>
      <c r="D198" s="28" t="s">
        <v>121</v>
      </c>
      <c r="E198" s="28" t="s">
        <v>124</v>
      </c>
      <c r="F198" s="28" t="s">
        <v>95</v>
      </c>
      <c r="G198" s="29"/>
      <c r="H198" s="29"/>
      <c r="I198" s="28"/>
      <c r="J198" s="28" t="str">
        <f aca="false">INDEX(Turmas!$K:$K,MATCH(B198,Turmas!$M:$M,0))&amp;" | "&amp;INDEX(Turmas!$L:$L,MATCH(B198,Turmas!$M:$M,0))</f>
        <v>CICLO III  -  1º ANO | TARDE</v>
      </c>
    </row>
    <row r="199" customFormat="false" ht="15" hidden="false" customHeight="false" outlineLevel="0" collapsed="false">
      <c r="A199" s="28" t="str">
        <f aca="false">B199&amp;"|"&amp;C199</f>
        <v>C31301|28</v>
      </c>
      <c r="B199" s="28" t="s">
        <v>63</v>
      </c>
      <c r="C199" s="28" t="n">
        <v>28</v>
      </c>
      <c r="D199" s="28" t="s">
        <v>121</v>
      </c>
      <c r="E199" s="28" t="s">
        <v>125</v>
      </c>
      <c r="F199" s="28" t="s">
        <v>95</v>
      </c>
      <c r="G199" s="29"/>
      <c r="H199" s="29"/>
      <c r="I199" s="28"/>
      <c r="J199" s="28" t="str">
        <f aca="false">INDEX(Turmas!$K:$K,MATCH(B199,Turmas!$M:$M,0))&amp;" | "&amp;INDEX(Turmas!$L:$L,MATCH(B199,Turmas!$M:$M,0))</f>
        <v>CICLO III  -  1º ANO | TARDE</v>
      </c>
    </row>
    <row r="200" customFormat="false" ht="15" hidden="false" customHeight="false" outlineLevel="0" collapsed="false">
      <c r="A200" s="28" t="str">
        <f aca="false">B200&amp;"|"&amp;C200</f>
        <v>C31301|29</v>
      </c>
      <c r="B200" s="28" t="s">
        <v>63</v>
      </c>
      <c r="C200" s="28" t="n">
        <v>29</v>
      </c>
      <c r="D200" s="28" t="s">
        <v>121</v>
      </c>
      <c r="E200" s="28" t="s">
        <v>126</v>
      </c>
      <c r="F200" s="28" t="s">
        <v>95</v>
      </c>
      <c r="G200" s="29"/>
      <c r="H200" s="29"/>
      <c r="I200" s="28"/>
      <c r="J200" s="28" t="str">
        <f aca="false">INDEX(Turmas!$K:$K,MATCH(B200,Turmas!$M:$M,0))&amp;" | "&amp;INDEX(Turmas!$L:$L,MATCH(B200,Turmas!$M:$M,0))</f>
        <v>CICLO III  -  1º ANO | TARDE</v>
      </c>
    </row>
    <row r="201" customFormat="false" ht="15" hidden="false" customHeight="false" outlineLevel="0" collapsed="false">
      <c r="A201" s="28" t="str">
        <f aca="false">B201&amp;"|"&amp;C201</f>
        <v>C31301|30</v>
      </c>
      <c r="B201" s="28" t="s">
        <v>63</v>
      </c>
      <c r="C201" s="28" t="n">
        <v>30</v>
      </c>
      <c r="D201" s="28" t="s">
        <v>127</v>
      </c>
      <c r="E201" s="28" t="s">
        <v>128</v>
      </c>
      <c r="F201" s="28" t="s">
        <v>95</v>
      </c>
      <c r="G201" s="29"/>
      <c r="H201" s="29"/>
      <c r="I201" s="28"/>
      <c r="J201" s="28" t="str">
        <f aca="false">INDEX(Turmas!$K:$K,MATCH(B201,Turmas!$M:$M,0))&amp;" | "&amp;INDEX(Turmas!$L:$L,MATCH(B201,Turmas!$M:$M,0))</f>
        <v>CICLO III  -  1º ANO | TARDE</v>
      </c>
    </row>
    <row r="202" customFormat="false" ht="15" hidden="false" customHeight="false" outlineLevel="0" collapsed="false">
      <c r="A202" s="28" t="str">
        <f aca="false">B202&amp;"|"&amp;C202</f>
        <v>C31301|31</v>
      </c>
      <c r="B202" s="28" t="s">
        <v>63</v>
      </c>
      <c r="C202" s="28" t="n">
        <v>31</v>
      </c>
      <c r="D202" s="28" t="s">
        <v>127</v>
      </c>
      <c r="E202" s="28" t="s">
        <v>108</v>
      </c>
      <c r="F202" s="28" t="s">
        <v>95</v>
      </c>
      <c r="G202" s="29"/>
      <c r="H202" s="29"/>
      <c r="I202" s="28"/>
      <c r="J202" s="28" t="str">
        <f aca="false">INDEX(Turmas!$K:$K,MATCH(B202,Turmas!$M:$M,0))&amp;" | "&amp;INDEX(Turmas!$L:$L,MATCH(B202,Turmas!$M:$M,0))</f>
        <v>CICLO III  -  1º ANO | TARDE</v>
      </c>
    </row>
    <row r="203" customFormat="false" ht="15" hidden="false" customHeight="false" outlineLevel="0" collapsed="false">
      <c r="A203" s="28" t="str">
        <f aca="false">B203&amp;"|"&amp;C203</f>
        <v>C31301|32</v>
      </c>
      <c r="B203" s="28" t="s">
        <v>63</v>
      </c>
      <c r="C203" s="28" t="n">
        <v>32</v>
      </c>
      <c r="D203" s="28" t="s">
        <v>127</v>
      </c>
      <c r="E203" s="28" t="s">
        <v>129</v>
      </c>
      <c r="F203" s="28" t="s">
        <v>95</v>
      </c>
      <c r="G203" s="29"/>
      <c r="H203" s="29"/>
      <c r="I203" s="28"/>
      <c r="J203" s="28" t="str">
        <f aca="false">INDEX(Turmas!$K:$K,MATCH(B203,Turmas!$M:$M,0))&amp;" | "&amp;INDEX(Turmas!$L:$L,MATCH(B203,Turmas!$M:$M,0))</f>
        <v>CICLO III  -  1º ANO | TARDE</v>
      </c>
    </row>
    <row r="204" customFormat="false" ht="15" hidden="false" customHeight="false" outlineLevel="0" collapsed="false">
      <c r="A204" s="28" t="str">
        <f aca="false">B204&amp;"|"&amp;C204</f>
        <v>C31301|33</v>
      </c>
      <c r="B204" s="28" t="s">
        <v>63</v>
      </c>
      <c r="C204" s="28" t="n">
        <v>33</v>
      </c>
      <c r="D204" s="28" t="s">
        <v>127</v>
      </c>
      <c r="E204" s="28" t="s">
        <v>130</v>
      </c>
      <c r="F204" s="28" t="s">
        <v>95</v>
      </c>
      <c r="G204" s="29"/>
      <c r="H204" s="29"/>
      <c r="I204" s="28"/>
      <c r="J204" s="28" t="str">
        <f aca="false">INDEX(Turmas!$K:$K,MATCH(B204,Turmas!$M:$M,0))&amp;" | "&amp;INDEX(Turmas!$L:$L,MATCH(B204,Turmas!$M:$M,0))</f>
        <v>CICLO III  -  1º ANO | TARDE</v>
      </c>
    </row>
    <row r="205" customFormat="false" ht="15" hidden="false" customHeight="false" outlineLevel="0" collapsed="false">
      <c r="A205" s="28" t="str">
        <f aca="false">B205&amp;"|"&amp;C205</f>
        <v>C31301|34</v>
      </c>
      <c r="B205" s="28" t="s">
        <v>63</v>
      </c>
      <c r="C205" s="28" t="n">
        <v>34</v>
      </c>
      <c r="D205" s="28" t="s">
        <v>127</v>
      </c>
      <c r="E205" s="28" t="s">
        <v>131</v>
      </c>
      <c r="F205" s="28" t="s">
        <v>95</v>
      </c>
      <c r="G205" s="29"/>
      <c r="H205" s="29"/>
      <c r="I205" s="28"/>
      <c r="J205" s="28" t="str">
        <f aca="false">INDEX(Turmas!$K:$K,MATCH(B205,Turmas!$M:$M,0))&amp;" | "&amp;INDEX(Turmas!$L:$L,MATCH(B205,Turmas!$M:$M,0))</f>
        <v>CICLO III  -  1º ANO | TARDE</v>
      </c>
    </row>
    <row r="206" customFormat="false" ht="15" hidden="false" customHeight="false" outlineLevel="0" collapsed="false">
      <c r="A206" s="28" t="str">
        <f aca="false">B206&amp;"|"&amp;C206</f>
        <v>C22102|1</v>
      </c>
      <c r="B206" s="28" t="s">
        <v>66</v>
      </c>
      <c r="C206" s="28" t="n">
        <v>1</v>
      </c>
      <c r="D206" s="28" t="s">
        <v>93</v>
      </c>
      <c r="E206" s="28" t="s">
        <v>94</v>
      </c>
      <c r="F206" s="28" t="s">
        <v>95</v>
      </c>
      <c r="G206" s="29"/>
      <c r="H206" s="29"/>
      <c r="I206" s="28"/>
      <c r="J206" s="28" t="str">
        <f aca="false">INDEX(Turmas!$K:$K,MATCH(B206,Turmas!$M:$M,0))&amp;" | "&amp;INDEX(Turmas!$L:$L,MATCH(B206,Turmas!$M:$M,0))</f>
        <v>CICLO II  -  2º ANO | MANHÃ</v>
      </c>
    </row>
    <row r="207" customFormat="false" ht="15" hidden="false" customHeight="false" outlineLevel="0" collapsed="false">
      <c r="A207" s="28" t="str">
        <f aca="false">B207&amp;"|"&amp;C207</f>
        <v>C22102|2</v>
      </c>
      <c r="B207" s="28" t="s">
        <v>66</v>
      </c>
      <c r="C207" s="28" t="n">
        <v>2</v>
      </c>
      <c r="D207" s="28" t="s">
        <v>93</v>
      </c>
      <c r="E207" s="28" t="s">
        <v>96</v>
      </c>
      <c r="F207" s="28" t="s">
        <v>95</v>
      </c>
      <c r="G207" s="29"/>
      <c r="H207" s="29"/>
      <c r="I207" s="28"/>
      <c r="J207" s="28" t="str">
        <f aca="false">INDEX(Turmas!$K:$K,MATCH(B207,Turmas!$M:$M,0))&amp;" | "&amp;INDEX(Turmas!$L:$L,MATCH(B207,Turmas!$M:$M,0))</f>
        <v>CICLO II  -  2º ANO | MANHÃ</v>
      </c>
    </row>
    <row r="208" customFormat="false" ht="15" hidden="false" customHeight="false" outlineLevel="0" collapsed="false">
      <c r="A208" s="28" t="str">
        <f aca="false">B208&amp;"|"&amp;C208</f>
        <v>C22102|3</v>
      </c>
      <c r="B208" s="28" t="s">
        <v>66</v>
      </c>
      <c r="C208" s="28" t="n">
        <v>3</v>
      </c>
      <c r="D208" s="28" t="s">
        <v>93</v>
      </c>
      <c r="E208" s="28" t="s">
        <v>97</v>
      </c>
      <c r="F208" s="28" t="s">
        <v>95</v>
      </c>
      <c r="G208" s="29"/>
      <c r="H208" s="29"/>
      <c r="I208" s="28"/>
      <c r="J208" s="28" t="str">
        <f aca="false">INDEX(Turmas!$K:$K,MATCH(B208,Turmas!$M:$M,0))&amp;" | "&amp;INDEX(Turmas!$L:$L,MATCH(B208,Turmas!$M:$M,0))</f>
        <v>CICLO II  -  2º ANO | MANHÃ</v>
      </c>
    </row>
    <row r="209" customFormat="false" ht="15" hidden="false" customHeight="false" outlineLevel="0" collapsed="false">
      <c r="A209" s="28" t="str">
        <f aca="false">B209&amp;"|"&amp;C209</f>
        <v>C22102|4</v>
      </c>
      <c r="B209" s="28" t="s">
        <v>66</v>
      </c>
      <c r="C209" s="28" t="n">
        <v>4</v>
      </c>
      <c r="D209" s="28" t="s">
        <v>93</v>
      </c>
      <c r="E209" s="28" t="s">
        <v>98</v>
      </c>
      <c r="F209" s="28" t="s">
        <v>95</v>
      </c>
      <c r="G209" s="29"/>
      <c r="H209" s="29"/>
      <c r="I209" s="28"/>
      <c r="J209" s="28" t="str">
        <f aca="false">INDEX(Turmas!$K:$K,MATCH(B209,Turmas!$M:$M,0))&amp;" | "&amp;INDEX(Turmas!$L:$L,MATCH(B209,Turmas!$M:$M,0))</f>
        <v>CICLO II  -  2º ANO | MANHÃ</v>
      </c>
    </row>
    <row r="210" customFormat="false" ht="15" hidden="false" customHeight="false" outlineLevel="0" collapsed="false">
      <c r="A210" s="28" t="str">
        <f aca="false">B210&amp;"|"&amp;C210</f>
        <v>C22102|5</v>
      </c>
      <c r="B210" s="28" t="s">
        <v>66</v>
      </c>
      <c r="C210" s="28" t="n">
        <v>5</v>
      </c>
      <c r="D210" s="28" t="s">
        <v>93</v>
      </c>
      <c r="E210" s="28" t="s">
        <v>99</v>
      </c>
      <c r="F210" s="28" t="s">
        <v>95</v>
      </c>
      <c r="G210" s="29"/>
      <c r="H210" s="29"/>
      <c r="I210" s="28"/>
      <c r="J210" s="28" t="str">
        <f aca="false">INDEX(Turmas!$K:$K,MATCH(B210,Turmas!$M:$M,0))&amp;" | "&amp;INDEX(Turmas!$L:$L,MATCH(B210,Turmas!$M:$M,0))</f>
        <v>CICLO II  -  2º ANO | MANHÃ</v>
      </c>
    </row>
    <row r="211" customFormat="false" ht="15" hidden="false" customHeight="false" outlineLevel="0" collapsed="false">
      <c r="A211" s="28" t="str">
        <f aca="false">B211&amp;"|"&amp;C211</f>
        <v>C22102|6</v>
      </c>
      <c r="B211" s="28" t="s">
        <v>66</v>
      </c>
      <c r="C211" s="28" t="n">
        <v>6</v>
      </c>
      <c r="D211" s="28" t="s">
        <v>93</v>
      </c>
      <c r="E211" s="28" t="s">
        <v>100</v>
      </c>
      <c r="F211" s="28" t="s">
        <v>95</v>
      </c>
      <c r="G211" s="29"/>
      <c r="H211" s="29"/>
      <c r="I211" s="28"/>
      <c r="J211" s="28" t="str">
        <f aca="false">INDEX(Turmas!$K:$K,MATCH(B211,Turmas!$M:$M,0))&amp;" | "&amp;INDEX(Turmas!$L:$L,MATCH(B211,Turmas!$M:$M,0))</f>
        <v>CICLO II  -  2º ANO | MANHÃ</v>
      </c>
    </row>
    <row r="212" customFormat="false" ht="15" hidden="false" customHeight="false" outlineLevel="0" collapsed="false">
      <c r="A212" s="28" t="str">
        <f aca="false">B212&amp;"|"&amp;C212</f>
        <v>C22102|7</v>
      </c>
      <c r="B212" s="28" t="s">
        <v>66</v>
      </c>
      <c r="C212" s="28" t="n">
        <v>7</v>
      </c>
      <c r="D212" s="28" t="s">
        <v>93</v>
      </c>
      <c r="E212" s="28" t="s">
        <v>101</v>
      </c>
      <c r="F212" s="28" t="s">
        <v>95</v>
      </c>
      <c r="G212" s="29"/>
      <c r="H212" s="29"/>
      <c r="I212" s="28"/>
      <c r="J212" s="28" t="str">
        <f aca="false">INDEX(Turmas!$K:$K,MATCH(B212,Turmas!$M:$M,0))&amp;" | "&amp;INDEX(Turmas!$L:$L,MATCH(B212,Turmas!$M:$M,0))</f>
        <v>CICLO II  -  2º ANO | MANHÃ</v>
      </c>
    </row>
    <row r="213" customFormat="false" ht="15" hidden="false" customHeight="false" outlineLevel="0" collapsed="false">
      <c r="A213" s="28" t="str">
        <f aca="false">B213&amp;"|"&amp;C213</f>
        <v>C22102|8</v>
      </c>
      <c r="B213" s="28" t="s">
        <v>66</v>
      </c>
      <c r="C213" s="28" t="n">
        <v>8</v>
      </c>
      <c r="D213" s="28" t="s">
        <v>102</v>
      </c>
      <c r="E213" s="28" t="s">
        <v>103</v>
      </c>
      <c r="F213" s="28" t="s">
        <v>95</v>
      </c>
      <c r="G213" s="29"/>
      <c r="H213" s="29"/>
      <c r="I213" s="28"/>
      <c r="J213" s="28" t="str">
        <f aca="false">INDEX(Turmas!$K:$K,MATCH(B213,Turmas!$M:$M,0))&amp;" | "&amp;INDEX(Turmas!$L:$L,MATCH(B213,Turmas!$M:$M,0))</f>
        <v>CICLO II  -  2º ANO | MANHÃ</v>
      </c>
    </row>
    <row r="214" customFormat="false" ht="15" hidden="false" customHeight="false" outlineLevel="0" collapsed="false">
      <c r="A214" s="28" t="str">
        <f aca="false">B214&amp;"|"&amp;C214</f>
        <v>C22102|9</v>
      </c>
      <c r="B214" s="28" t="s">
        <v>66</v>
      </c>
      <c r="C214" s="28" t="n">
        <v>9</v>
      </c>
      <c r="D214" s="28" t="s">
        <v>102</v>
      </c>
      <c r="E214" s="28" t="s">
        <v>104</v>
      </c>
      <c r="F214" s="28" t="s">
        <v>95</v>
      </c>
      <c r="G214" s="29"/>
      <c r="H214" s="29"/>
      <c r="I214" s="28"/>
      <c r="J214" s="28" t="str">
        <f aca="false">INDEX(Turmas!$K:$K,MATCH(B214,Turmas!$M:$M,0))&amp;" | "&amp;INDEX(Turmas!$L:$L,MATCH(B214,Turmas!$M:$M,0))</f>
        <v>CICLO II  -  2º ANO | MANHÃ</v>
      </c>
    </row>
    <row r="215" customFormat="false" ht="15" hidden="false" customHeight="false" outlineLevel="0" collapsed="false">
      <c r="A215" s="28" t="str">
        <f aca="false">B215&amp;"|"&amp;C215</f>
        <v>C22102|10</v>
      </c>
      <c r="B215" s="28" t="s">
        <v>66</v>
      </c>
      <c r="C215" s="28" t="n">
        <v>10</v>
      </c>
      <c r="D215" s="28" t="s">
        <v>102</v>
      </c>
      <c r="E215" s="28" t="s">
        <v>105</v>
      </c>
      <c r="F215" s="28" t="s">
        <v>95</v>
      </c>
      <c r="G215" s="29"/>
      <c r="H215" s="29"/>
      <c r="I215" s="28"/>
      <c r="J215" s="28" t="str">
        <f aca="false">INDEX(Turmas!$K:$K,MATCH(B215,Turmas!$M:$M,0))&amp;" | "&amp;INDEX(Turmas!$L:$L,MATCH(B215,Turmas!$M:$M,0))</f>
        <v>CICLO II  -  2º ANO | MANHÃ</v>
      </c>
    </row>
    <row r="216" customFormat="false" ht="15" hidden="false" customHeight="false" outlineLevel="0" collapsed="false">
      <c r="A216" s="28" t="str">
        <f aca="false">B216&amp;"|"&amp;C216</f>
        <v>C22102|11</v>
      </c>
      <c r="B216" s="28" t="s">
        <v>66</v>
      </c>
      <c r="C216" s="28" t="n">
        <v>11</v>
      </c>
      <c r="D216" s="28" t="s">
        <v>102</v>
      </c>
      <c r="E216" s="28" t="s">
        <v>106</v>
      </c>
      <c r="F216" s="28" t="s">
        <v>95</v>
      </c>
      <c r="G216" s="29"/>
      <c r="H216" s="29"/>
      <c r="I216" s="28"/>
      <c r="J216" s="28" t="str">
        <f aca="false">INDEX(Turmas!$K:$K,MATCH(B216,Turmas!$M:$M,0))&amp;" | "&amp;INDEX(Turmas!$L:$L,MATCH(B216,Turmas!$M:$M,0))</f>
        <v>CICLO II  -  2º ANO | MANHÃ</v>
      </c>
    </row>
    <row r="217" customFormat="false" ht="15" hidden="false" customHeight="false" outlineLevel="0" collapsed="false">
      <c r="A217" s="28" t="str">
        <f aca="false">B217&amp;"|"&amp;C217</f>
        <v>C22102|12</v>
      </c>
      <c r="B217" s="28" t="s">
        <v>66</v>
      </c>
      <c r="C217" s="28" t="n">
        <v>12</v>
      </c>
      <c r="D217" s="28" t="s">
        <v>102</v>
      </c>
      <c r="E217" s="28" t="s">
        <v>107</v>
      </c>
      <c r="F217" s="28" t="s">
        <v>95</v>
      </c>
      <c r="G217" s="29"/>
      <c r="H217" s="29"/>
      <c r="I217" s="28"/>
      <c r="J217" s="28" t="str">
        <f aca="false">INDEX(Turmas!$K:$K,MATCH(B217,Turmas!$M:$M,0))&amp;" | "&amp;INDEX(Turmas!$L:$L,MATCH(B217,Turmas!$M:$M,0))</f>
        <v>CICLO II  -  2º ANO | MANHÃ</v>
      </c>
    </row>
    <row r="218" customFormat="false" ht="15" hidden="false" customHeight="false" outlineLevel="0" collapsed="false">
      <c r="A218" s="28" t="str">
        <f aca="false">B218&amp;"|"&amp;C218</f>
        <v>C22102|13</v>
      </c>
      <c r="B218" s="28" t="s">
        <v>66</v>
      </c>
      <c r="C218" s="28" t="n">
        <v>13</v>
      </c>
      <c r="D218" s="28" t="s">
        <v>102</v>
      </c>
      <c r="E218" s="28" t="s">
        <v>108</v>
      </c>
      <c r="F218" s="28" t="s">
        <v>95</v>
      </c>
      <c r="G218" s="29"/>
      <c r="H218" s="29"/>
      <c r="I218" s="28"/>
      <c r="J218" s="28" t="str">
        <f aca="false">INDEX(Turmas!$K:$K,MATCH(B218,Turmas!$M:$M,0))&amp;" | "&amp;INDEX(Turmas!$L:$L,MATCH(B218,Turmas!$M:$M,0))</f>
        <v>CICLO II  -  2º ANO | MANHÃ</v>
      </c>
    </row>
    <row r="219" customFormat="false" ht="15" hidden="false" customHeight="false" outlineLevel="0" collapsed="false">
      <c r="A219" s="28" t="str">
        <f aca="false">B219&amp;"|"&amp;C219</f>
        <v>C22102|14</v>
      </c>
      <c r="B219" s="28" t="s">
        <v>66</v>
      </c>
      <c r="C219" s="28" t="n">
        <v>14</v>
      </c>
      <c r="D219" s="28" t="s">
        <v>102</v>
      </c>
      <c r="E219" s="28" t="s">
        <v>109</v>
      </c>
      <c r="F219" s="28" t="s">
        <v>95</v>
      </c>
      <c r="G219" s="29"/>
      <c r="H219" s="29"/>
      <c r="I219" s="28"/>
      <c r="J219" s="28" t="str">
        <f aca="false">INDEX(Turmas!$K:$K,MATCH(B219,Turmas!$M:$M,0))&amp;" | "&amp;INDEX(Turmas!$L:$L,MATCH(B219,Turmas!$M:$M,0))</f>
        <v>CICLO II  -  2º ANO | MANHÃ</v>
      </c>
    </row>
    <row r="220" customFormat="false" ht="15" hidden="false" customHeight="false" outlineLevel="0" collapsed="false">
      <c r="A220" s="28" t="str">
        <f aca="false">B220&amp;"|"&amp;C220</f>
        <v>C22102|15</v>
      </c>
      <c r="B220" s="28" t="s">
        <v>66</v>
      </c>
      <c r="C220" s="28" t="n">
        <v>15</v>
      </c>
      <c r="D220" s="28" t="s">
        <v>102</v>
      </c>
      <c r="E220" s="28" t="s">
        <v>110</v>
      </c>
      <c r="F220" s="28" t="s">
        <v>95</v>
      </c>
      <c r="G220" s="29"/>
      <c r="H220" s="29"/>
      <c r="I220" s="28"/>
      <c r="J220" s="28" t="str">
        <f aca="false">INDEX(Turmas!$K:$K,MATCH(B220,Turmas!$M:$M,0))&amp;" | "&amp;INDEX(Turmas!$L:$L,MATCH(B220,Turmas!$M:$M,0))</f>
        <v>CICLO II  -  2º ANO | MANHÃ</v>
      </c>
    </row>
    <row r="221" customFormat="false" ht="15" hidden="false" customHeight="false" outlineLevel="0" collapsed="false">
      <c r="A221" s="28" t="str">
        <f aca="false">B221&amp;"|"&amp;C221</f>
        <v>C22102|16</v>
      </c>
      <c r="B221" s="28" t="s">
        <v>66</v>
      </c>
      <c r="C221" s="28" t="n">
        <v>16</v>
      </c>
      <c r="D221" s="28" t="s">
        <v>111</v>
      </c>
      <c r="E221" s="28" t="s">
        <v>112</v>
      </c>
      <c r="F221" s="28" t="s">
        <v>95</v>
      </c>
      <c r="G221" s="29"/>
      <c r="H221" s="29"/>
      <c r="I221" s="28"/>
      <c r="J221" s="28" t="str">
        <f aca="false">INDEX(Turmas!$K:$K,MATCH(B221,Turmas!$M:$M,0))&amp;" | "&amp;INDEX(Turmas!$L:$L,MATCH(B221,Turmas!$M:$M,0))</f>
        <v>CICLO II  -  2º ANO | MANHÃ</v>
      </c>
    </row>
    <row r="222" customFormat="false" ht="15" hidden="false" customHeight="false" outlineLevel="0" collapsed="false">
      <c r="A222" s="28" t="str">
        <f aca="false">B222&amp;"|"&amp;C222</f>
        <v>C22102|17</v>
      </c>
      <c r="B222" s="28" t="s">
        <v>66</v>
      </c>
      <c r="C222" s="28" t="n">
        <v>17</v>
      </c>
      <c r="D222" s="28" t="s">
        <v>111</v>
      </c>
      <c r="E222" s="28" t="s">
        <v>113</v>
      </c>
      <c r="F222" s="28" t="s">
        <v>95</v>
      </c>
      <c r="G222" s="29"/>
      <c r="H222" s="29"/>
      <c r="I222" s="28"/>
      <c r="J222" s="28" t="str">
        <f aca="false">INDEX(Turmas!$K:$K,MATCH(B222,Turmas!$M:$M,0))&amp;" | "&amp;INDEX(Turmas!$L:$L,MATCH(B222,Turmas!$M:$M,0))</f>
        <v>CICLO II  -  2º ANO | MANHÃ</v>
      </c>
    </row>
    <row r="223" customFormat="false" ht="15" hidden="false" customHeight="false" outlineLevel="0" collapsed="false">
      <c r="A223" s="28" t="str">
        <f aca="false">B223&amp;"|"&amp;C223</f>
        <v>C22102|18</v>
      </c>
      <c r="B223" s="28" t="s">
        <v>66</v>
      </c>
      <c r="C223" s="28" t="n">
        <v>18</v>
      </c>
      <c r="D223" s="28" t="s">
        <v>111</v>
      </c>
      <c r="E223" s="28" t="s">
        <v>114</v>
      </c>
      <c r="F223" s="28" t="s">
        <v>95</v>
      </c>
      <c r="G223" s="29"/>
      <c r="H223" s="29"/>
      <c r="I223" s="28"/>
      <c r="J223" s="28" t="str">
        <f aca="false">INDEX(Turmas!$K:$K,MATCH(B223,Turmas!$M:$M,0))&amp;" | "&amp;INDEX(Turmas!$L:$L,MATCH(B223,Turmas!$M:$M,0))</f>
        <v>CICLO II  -  2º ANO | MANHÃ</v>
      </c>
    </row>
    <row r="224" customFormat="false" ht="15" hidden="false" customHeight="false" outlineLevel="0" collapsed="false">
      <c r="A224" s="28" t="str">
        <f aca="false">B224&amp;"|"&amp;C224</f>
        <v>C22102|19</v>
      </c>
      <c r="B224" s="28" t="s">
        <v>66</v>
      </c>
      <c r="C224" s="28" t="n">
        <v>19</v>
      </c>
      <c r="D224" s="28" t="s">
        <v>111</v>
      </c>
      <c r="E224" s="28" t="s">
        <v>115</v>
      </c>
      <c r="F224" s="28" t="s">
        <v>95</v>
      </c>
      <c r="G224" s="29"/>
      <c r="H224" s="29"/>
      <c r="I224" s="28"/>
      <c r="J224" s="28" t="str">
        <f aca="false">INDEX(Turmas!$K:$K,MATCH(B224,Turmas!$M:$M,0))&amp;" | "&amp;INDEX(Turmas!$L:$L,MATCH(B224,Turmas!$M:$M,0))</f>
        <v>CICLO II  -  2º ANO | MANHÃ</v>
      </c>
    </row>
    <row r="225" customFormat="false" ht="15" hidden="false" customHeight="false" outlineLevel="0" collapsed="false">
      <c r="A225" s="28" t="str">
        <f aca="false">B225&amp;"|"&amp;C225</f>
        <v>C22102|20</v>
      </c>
      <c r="B225" s="28" t="s">
        <v>66</v>
      </c>
      <c r="C225" s="28" t="n">
        <v>20</v>
      </c>
      <c r="D225" s="28" t="s">
        <v>111</v>
      </c>
      <c r="E225" s="28" t="s">
        <v>116</v>
      </c>
      <c r="F225" s="28" t="s">
        <v>95</v>
      </c>
      <c r="G225" s="29"/>
      <c r="H225" s="29"/>
      <c r="I225" s="28"/>
      <c r="J225" s="28" t="str">
        <f aca="false">INDEX(Turmas!$K:$K,MATCH(B225,Turmas!$M:$M,0))&amp;" | "&amp;INDEX(Turmas!$L:$L,MATCH(B225,Turmas!$M:$M,0))</f>
        <v>CICLO II  -  2º ANO | MANHÃ</v>
      </c>
    </row>
    <row r="226" customFormat="false" ht="15" hidden="false" customHeight="false" outlineLevel="0" collapsed="false">
      <c r="A226" s="28" t="str">
        <f aca="false">B226&amp;"|"&amp;C226</f>
        <v>C22102|21</v>
      </c>
      <c r="B226" s="28" t="s">
        <v>66</v>
      </c>
      <c r="C226" s="28" t="n">
        <v>21</v>
      </c>
      <c r="D226" s="28" t="s">
        <v>111</v>
      </c>
      <c r="E226" s="28" t="s">
        <v>117</v>
      </c>
      <c r="F226" s="28" t="s">
        <v>95</v>
      </c>
      <c r="G226" s="29"/>
      <c r="H226" s="29"/>
      <c r="I226" s="28"/>
      <c r="J226" s="28" t="str">
        <f aca="false">INDEX(Turmas!$K:$K,MATCH(B226,Turmas!$M:$M,0))&amp;" | "&amp;INDEX(Turmas!$L:$L,MATCH(B226,Turmas!$M:$M,0))</f>
        <v>CICLO II  -  2º ANO | MANHÃ</v>
      </c>
    </row>
    <row r="227" customFormat="false" ht="15" hidden="false" customHeight="false" outlineLevel="0" collapsed="false">
      <c r="A227" s="28" t="str">
        <f aca="false">B227&amp;"|"&amp;C227</f>
        <v>C22102|22</v>
      </c>
      <c r="B227" s="28" t="s">
        <v>66</v>
      </c>
      <c r="C227" s="28" t="n">
        <v>22</v>
      </c>
      <c r="D227" s="28" t="s">
        <v>111</v>
      </c>
      <c r="E227" s="28" t="s">
        <v>118</v>
      </c>
      <c r="F227" s="28" t="s">
        <v>95</v>
      </c>
      <c r="G227" s="29"/>
      <c r="H227" s="29"/>
      <c r="I227" s="28"/>
      <c r="J227" s="28" t="str">
        <f aca="false">INDEX(Turmas!$K:$K,MATCH(B227,Turmas!$M:$M,0))&amp;" | "&amp;INDEX(Turmas!$L:$L,MATCH(B227,Turmas!$M:$M,0))</f>
        <v>CICLO II  -  2º ANO | MANHÃ</v>
      </c>
    </row>
    <row r="228" customFormat="false" ht="15" hidden="false" customHeight="false" outlineLevel="0" collapsed="false">
      <c r="A228" s="28" t="str">
        <f aca="false">B228&amp;"|"&amp;C228</f>
        <v>C22102|23</v>
      </c>
      <c r="B228" s="28" t="s">
        <v>66</v>
      </c>
      <c r="C228" s="28" t="n">
        <v>23</v>
      </c>
      <c r="D228" s="28" t="s">
        <v>111</v>
      </c>
      <c r="E228" s="28" t="s">
        <v>119</v>
      </c>
      <c r="F228" s="28" t="s">
        <v>95</v>
      </c>
      <c r="G228" s="29"/>
      <c r="H228" s="29"/>
      <c r="I228" s="28"/>
      <c r="J228" s="28" t="str">
        <f aca="false">INDEX(Turmas!$K:$K,MATCH(B228,Turmas!$M:$M,0))&amp;" | "&amp;INDEX(Turmas!$L:$L,MATCH(B228,Turmas!$M:$M,0))</f>
        <v>CICLO II  -  2º ANO | MANHÃ</v>
      </c>
    </row>
    <row r="229" customFormat="false" ht="15" hidden="false" customHeight="false" outlineLevel="0" collapsed="false">
      <c r="A229" s="28" t="str">
        <f aca="false">B229&amp;"|"&amp;C229</f>
        <v>C22102|24</v>
      </c>
      <c r="B229" s="28" t="s">
        <v>66</v>
      </c>
      <c r="C229" s="28" t="n">
        <v>24</v>
      </c>
      <c r="D229" s="28" t="s">
        <v>111</v>
      </c>
      <c r="E229" s="28" t="s">
        <v>120</v>
      </c>
      <c r="F229" s="28" t="s">
        <v>95</v>
      </c>
      <c r="G229" s="29"/>
      <c r="H229" s="29"/>
      <c r="I229" s="28"/>
      <c r="J229" s="28" t="str">
        <f aca="false">INDEX(Turmas!$K:$K,MATCH(B229,Turmas!$M:$M,0))&amp;" | "&amp;INDEX(Turmas!$L:$L,MATCH(B229,Turmas!$M:$M,0))</f>
        <v>CICLO II  -  2º ANO | MANHÃ</v>
      </c>
    </row>
    <row r="230" customFormat="false" ht="15" hidden="false" customHeight="false" outlineLevel="0" collapsed="false">
      <c r="A230" s="28" t="str">
        <f aca="false">B230&amp;"|"&amp;C230</f>
        <v>C22102|25</v>
      </c>
      <c r="B230" s="28" t="s">
        <v>66</v>
      </c>
      <c r="C230" s="28" t="n">
        <v>25</v>
      </c>
      <c r="D230" s="28" t="s">
        <v>121</v>
      </c>
      <c r="E230" s="28" t="s">
        <v>122</v>
      </c>
      <c r="F230" s="28" t="s">
        <v>95</v>
      </c>
      <c r="G230" s="29"/>
      <c r="H230" s="29"/>
      <c r="I230" s="28"/>
      <c r="J230" s="28" t="str">
        <f aca="false">INDEX(Turmas!$K:$K,MATCH(B230,Turmas!$M:$M,0))&amp;" | "&amp;INDEX(Turmas!$L:$L,MATCH(B230,Turmas!$M:$M,0))</f>
        <v>CICLO II  -  2º ANO | MANHÃ</v>
      </c>
    </row>
    <row r="231" customFormat="false" ht="15" hidden="false" customHeight="false" outlineLevel="0" collapsed="false">
      <c r="A231" s="28" t="str">
        <f aca="false">B231&amp;"|"&amp;C231</f>
        <v>C22102|26</v>
      </c>
      <c r="B231" s="28" t="s">
        <v>66</v>
      </c>
      <c r="C231" s="28" t="n">
        <v>26</v>
      </c>
      <c r="D231" s="28" t="s">
        <v>121</v>
      </c>
      <c r="E231" s="28" t="s">
        <v>123</v>
      </c>
      <c r="F231" s="28" t="s">
        <v>95</v>
      </c>
      <c r="G231" s="29"/>
      <c r="H231" s="29"/>
      <c r="I231" s="28"/>
      <c r="J231" s="28" t="str">
        <f aca="false">INDEX(Turmas!$K:$K,MATCH(B231,Turmas!$M:$M,0))&amp;" | "&amp;INDEX(Turmas!$L:$L,MATCH(B231,Turmas!$M:$M,0))</f>
        <v>CICLO II  -  2º ANO | MANHÃ</v>
      </c>
    </row>
    <row r="232" customFormat="false" ht="15" hidden="false" customHeight="false" outlineLevel="0" collapsed="false">
      <c r="A232" s="28" t="str">
        <f aca="false">B232&amp;"|"&amp;C232</f>
        <v>C22102|27</v>
      </c>
      <c r="B232" s="28" t="s">
        <v>66</v>
      </c>
      <c r="C232" s="28" t="n">
        <v>27</v>
      </c>
      <c r="D232" s="28" t="s">
        <v>121</v>
      </c>
      <c r="E232" s="28" t="s">
        <v>124</v>
      </c>
      <c r="F232" s="28" t="s">
        <v>95</v>
      </c>
      <c r="G232" s="29"/>
      <c r="H232" s="29"/>
      <c r="I232" s="28"/>
      <c r="J232" s="28" t="str">
        <f aca="false">INDEX(Turmas!$K:$K,MATCH(B232,Turmas!$M:$M,0))&amp;" | "&amp;INDEX(Turmas!$L:$L,MATCH(B232,Turmas!$M:$M,0))</f>
        <v>CICLO II  -  2º ANO | MANHÃ</v>
      </c>
    </row>
    <row r="233" customFormat="false" ht="15" hidden="false" customHeight="false" outlineLevel="0" collapsed="false">
      <c r="A233" s="28" t="str">
        <f aca="false">B233&amp;"|"&amp;C233</f>
        <v>C22102|28</v>
      </c>
      <c r="B233" s="28" t="s">
        <v>66</v>
      </c>
      <c r="C233" s="28" t="n">
        <v>28</v>
      </c>
      <c r="D233" s="28" t="s">
        <v>121</v>
      </c>
      <c r="E233" s="28" t="s">
        <v>125</v>
      </c>
      <c r="F233" s="28" t="s">
        <v>95</v>
      </c>
      <c r="G233" s="29"/>
      <c r="H233" s="29"/>
      <c r="I233" s="28"/>
      <c r="J233" s="28" t="str">
        <f aca="false">INDEX(Turmas!$K:$K,MATCH(B233,Turmas!$M:$M,0))&amp;" | "&amp;INDEX(Turmas!$L:$L,MATCH(B233,Turmas!$M:$M,0))</f>
        <v>CICLO II  -  2º ANO | MANHÃ</v>
      </c>
    </row>
    <row r="234" customFormat="false" ht="15" hidden="false" customHeight="false" outlineLevel="0" collapsed="false">
      <c r="A234" s="28" t="str">
        <f aca="false">B234&amp;"|"&amp;C234</f>
        <v>C22102|29</v>
      </c>
      <c r="B234" s="28" t="s">
        <v>66</v>
      </c>
      <c r="C234" s="28" t="n">
        <v>29</v>
      </c>
      <c r="D234" s="28" t="s">
        <v>121</v>
      </c>
      <c r="E234" s="28" t="s">
        <v>126</v>
      </c>
      <c r="F234" s="28" t="s">
        <v>95</v>
      </c>
      <c r="G234" s="29"/>
      <c r="H234" s="29"/>
      <c r="I234" s="28"/>
      <c r="J234" s="28" t="str">
        <f aca="false">INDEX(Turmas!$K:$K,MATCH(B234,Turmas!$M:$M,0))&amp;" | "&amp;INDEX(Turmas!$L:$L,MATCH(B234,Turmas!$M:$M,0))</f>
        <v>CICLO II  -  2º ANO | MANHÃ</v>
      </c>
    </row>
    <row r="235" customFormat="false" ht="15" hidden="false" customHeight="false" outlineLevel="0" collapsed="false">
      <c r="A235" s="28" t="str">
        <f aca="false">B235&amp;"|"&amp;C235</f>
        <v>C22102|30</v>
      </c>
      <c r="B235" s="28" t="s">
        <v>66</v>
      </c>
      <c r="C235" s="28" t="n">
        <v>30</v>
      </c>
      <c r="D235" s="28" t="s">
        <v>127</v>
      </c>
      <c r="E235" s="28" t="s">
        <v>128</v>
      </c>
      <c r="F235" s="28" t="s">
        <v>95</v>
      </c>
      <c r="G235" s="29"/>
      <c r="H235" s="29"/>
      <c r="I235" s="28"/>
      <c r="J235" s="28" t="str">
        <f aca="false">INDEX(Turmas!$K:$K,MATCH(B235,Turmas!$M:$M,0))&amp;" | "&amp;INDEX(Turmas!$L:$L,MATCH(B235,Turmas!$M:$M,0))</f>
        <v>CICLO II  -  2º ANO | MANHÃ</v>
      </c>
    </row>
    <row r="236" customFormat="false" ht="15" hidden="false" customHeight="false" outlineLevel="0" collapsed="false">
      <c r="A236" s="28" t="str">
        <f aca="false">B236&amp;"|"&amp;C236</f>
        <v>C22102|31</v>
      </c>
      <c r="B236" s="28" t="s">
        <v>66</v>
      </c>
      <c r="C236" s="28" t="n">
        <v>31</v>
      </c>
      <c r="D236" s="28" t="s">
        <v>127</v>
      </c>
      <c r="E236" s="28" t="s">
        <v>108</v>
      </c>
      <c r="F236" s="28" t="s">
        <v>95</v>
      </c>
      <c r="G236" s="29"/>
      <c r="H236" s="29"/>
      <c r="I236" s="28"/>
      <c r="J236" s="28" t="str">
        <f aca="false">INDEX(Turmas!$K:$K,MATCH(B236,Turmas!$M:$M,0))&amp;" | "&amp;INDEX(Turmas!$L:$L,MATCH(B236,Turmas!$M:$M,0))</f>
        <v>CICLO II  -  2º ANO | MANHÃ</v>
      </c>
    </row>
    <row r="237" customFormat="false" ht="15" hidden="false" customHeight="false" outlineLevel="0" collapsed="false">
      <c r="A237" s="28" t="str">
        <f aca="false">B237&amp;"|"&amp;C237</f>
        <v>C22102|32</v>
      </c>
      <c r="B237" s="28" t="s">
        <v>66</v>
      </c>
      <c r="C237" s="28" t="n">
        <v>32</v>
      </c>
      <c r="D237" s="28" t="s">
        <v>127</v>
      </c>
      <c r="E237" s="28" t="s">
        <v>129</v>
      </c>
      <c r="F237" s="28" t="s">
        <v>95</v>
      </c>
      <c r="G237" s="29"/>
      <c r="H237" s="29"/>
      <c r="I237" s="28"/>
      <c r="J237" s="28" t="str">
        <f aca="false">INDEX(Turmas!$K:$K,MATCH(B237,Turmas!$M:$M,0))&amp;" | "&amp;INDEX(Turmas!$L:$L,MATCH(B237,Turmas!$M:$M,0))</f>
        <v>CICLO II  -  2º ANO | MANHÃ</v>
      </c>
    </row>
    <row r="238" customFormat="false" ht="15" hidden="false" customHeight="false" outlineLevel="0" collapsed="false">
      <c r="A238" s="28" t="str">
        <f aca="false">B238&amp;"|"&amp;C238</f>
        <v>C22102|33</v>
      </c>
      <c r="B238" s="28" t="s">
        <v>66</v>
      </c>
      <c r="C238" s="28" t="n">
        <v>33</v>
      </c>
      <c r="D238" s="28" t="s">
        <v>127</v>
      </c>
      <c r="E238" s="28" t="s">
        <v>130</v>
      </c>
      <c r="F238" s="28" t="s">
        <v>95</v>
      </c>
      <c r="G238" s="29"/>
      <c r="H238" s="29"/>
      <c r="I238" s="28"/>
      <c r="J238" s="28" t="str">
        <f aca="false">INDEX(Turmas!$K:$K,MATCH(B238,Turmas!$M:$M,0))&amp;" | "&amp;INDEX(Turmas!$L:$L,MATCH(B238,Turmas!$M:$M,0))</f>
        <v>CICLO II  -  2º ANO | MANHÃ</v>
      </c>
    </row>
    <row r="239" customFormat="false" ht="15" hidden="false" customHeight="false" outlineLevel="0" collapsed="false">
      <c r="A239" s="28" t="str">
        <f aca="false">B239&amp;"|"&amp;C239</f>
        <v>C22102|34</v>
      </c>
      <c r="B239" s="28" t="s">
        <v>66</v>
      </c>
      <c r="C239" s="28" t="n">
        <v>34</v>
      </c>
      <c r="D239" s="28" t="s">
        <v>127</v>
      </c>
      <c r="E239" s="28" t="s">
        <v>131</v>
      </c>
      <c r="F239" s="28" t="s">
        <v>95</v>
      </c>
      <c r="G239" s="29"/>
      <c r="H239" s="29"/>
      <c r="I239" s="28"/>
      <c r="J239" s="28" t="str">
        <f aca="false">INDEX(Turmas!$K:$K,MATCH(B239,Turmas!$M:$M,0))&amp;" | "&amp;INDEX(Turmas!$L:$L,MATCH(B239,Turmas!$M:$M,0))</f>
        <v>CICLO II  -  2º ANO | MANHÃ</v>
      </c>
    </row>
    <row r="240" customFormat="false" ht="15" hidden="false" customHeight="false" outlineLevel="0" collapsed="false">
      <c r="A240" s="28" t="str">
        <f aca="false">B240&amp;"|"&amp;C240</f>
        <v>C22101|1</v>
      </c>
      <c r="B240" s="28" t="s">
        <v>67</v>
      </c>
      <c r="C240" s="28" t="n">
        <v>1</v>
      </c>
      <c r="D240" s="28" t="s">
        <v>93</v>
      </c>
      <c r="E240" s="28" t="s">
        <v>94</v>
      </c>
      <c r="F240" s="28" t="s">
        <v>95</v>
      </c>
      <c r="G240" s="29"/>
      <c r="H240" s="29"/>
      <c r="I240" s="28"/>
      <c r="J240" s="28" t="str">
        <f aca="false">INDEX(Turmas!$K:$K,MATCH(B240,Turmas!$M:$M,0))&amp;" | "&amp;INDEX(Turmas!$L:$L,MATCH(B240,Turmas!$M:$M,0))</f>
        <v>CICLO II  -  2º ANO | MANHÃ</v>
      </c>
    </row>
    <row r="241" customFormat="false" ht="15" hidden="false" customHeight="false" outlineLevel="0" collapsed="false">
      <c r="A241" s="28" t="str">
        <f aca="false">B241&amp;"|"&amp;C241</f>
        <v>C22101|2</v>
      </c>
      <c r="B241" s="28" t="s">
        <v>67</v>
      </c>
      <c r="C241" s="28" t="n">
        <v>2</v>
      </c>
      <c r="D241" s="28" t="s">
        <v>93</v>
      </c>
      <c r="E241" s="28" t="s">
        <v>96</v>
      </c>
      <c r="F241" s="28" t="s">
        <v>95</v>
      </c>
      <c r="G241" s="29"/>
      <c r="H241" s="29"/>
      <c r="I241" s="28"/>
      <c r="J241" s="28" t="str">
        <f aca="false">INDEX(Turmas!$K:$K,MATCH(B241,Turmas!$M:$M,0))&amp;" | "&amp;INDEX(Turmas!$L:$L,MATCH(B241,Turmas!$M:$M,0))</f>
        <v>CICLO II  -  2º ANO | MANHÃ</v>
      </c>
    </row>
    <row r="242" customFormat="false" ht="15" hidden="false" customHeight="false" outlineLevel="0" collapsed="false">
      <c r="A242" s="28" t="str">
        <f aca="false">B242&amp;"|"&amp;C242</f>
        <v>C22101|3</v>
      </c>
      <c r="B242" s="28" t="s">
        <v>67</v>
      </c>
      <c r="C242" s="28" t="n">
        <v>3</v>
      </c>
      <c r="D242" s="28" t="s">
        <v>93</v>
      </c>
      <c r="E242" s="28" t="s">
        <v>97</v>
      </c>
      <c r="F242" s="28" t="s">
        <v>95</v>
      </c>
      <c r="G242" s="29"/>
      <c r="H242" s="29"/>
      <c r="I242" s="28"/>
      <c r="J242" s="28" t="str">
        <f aca="false">INDEX(Turmas!$K:$K,MATCH(B242,Turmas!$M:$M,0))&amp;" | "&amp;INDEX(Turmas!$L:$L,MATCH(B242,Turmas!$M:$M,0))</f>
        <v>CICLO II  -  2º ANO | MANHÃ</v>
      </c>
    </row>
    <row r="243" customFormat="false" ht="15" hidden="false" customHeight="false" outlineLevel="0" collapsed="false">
      <c r="A243" s="28" t="str">
        <f aca="false">B243&amp;"|"&amp;C243</f>
        <v>C22101|4</v>
      </c>
      <c r="B243" s="28" t="s">
        <v>67</v>
      </c>
      <c r="C243" s="28" t="n">
        <v>4</v>
      </c>
      <c r="D243" s="28" t="s">
        <v>93</v>
      </c>
      <c r="E243" s="28" t="s">
        <v>98</v>
      </c>
      <c r="F243" s="28" t="s">
        <v>95</v>
      </c>
      <c r="G243" s="29"/>
      <c r="H243" s="29"/>
      <c r="I243" s="28"/>
      <c r="J243" s="28" t="str">
        <f aca="false">INDEX(Turmas!$K:$K,MATCH(B243,Turmas!$M:$M,0))&amp;" | "&amp;INDEX(Turmas!$L:$L,MATCH(B243,Turmas!$M:$M,0))</f>
        <v>CICLO II  -  2º ANO | MANHÃ</v>
      </c>
    </row>
    <row r="244" customFormat="false" ht="15" hidden="false" customHeight="false" outlineLevel="0" collapsed="false">
      <c r="A244" s="28" t="str">
        <f aca="false">B244&amp;"|"&amp;C244</f>
        <v>C22101|5</v>
      </c>
      <c r="B244" s="28" t="s">
        <v>67</v>
      </c>
      <c r="C244" s="28" t="n">
        <v>5</v>
      </c>
      <c r="D244" s="28" t="s">
        <v>93</v>
      </c>
      <c r="E244" s="28" t="s">
        <v>99</v>
      </c>
      <c r="F244" s="28" t="s">
        <v>95</v>
      </c>
      <c r="G244" s="29"/>
      <c r="H244" s="29"/>
      <c r="I244" s="28"/>
      <c r="J244" s="28" t="str">
        <f aca="false">INDEX(Turmas!$K:$K,MATCH(B244,Turmas!$M:$M,0))&amp;" | "&amp;INDEX(Turmas!$L:$L,MATCH(B244,Turmas!$M:$M,0))</f>
        <v>CICLO II  -  2º ANO | MANHÃ</v>
      </c>
    </row>
    <row r="245" customFormat="false" ht="15" hidden="false" customHeight="false" outlineLevel="0" collapsed="false">
      <c r="A245" s="28" t="str">
        <f aca="false">B245&amp;"|"&amp;C245</f>
        <v>C22101|6</v>
      </c>
      <c r="B245" s="28" t="s">
        <v>67</v>
      </c>
      <c r="C245" s="28" t="n">
        <v>6</v>
      </c>
      <c r="D245" s="28" t="s">
        <v>93</v>
      </c>
      <c r="E245" s="28" t="s">
        <v>100</v>
      </c>
      <c r="F245" s="28" t="s">
        <v>95</v>
      </c>
      <c r="G245" s="29"/>
      <c r="H245" s="29"/>
      <c r="I245" s="28"/>
      <c r="J245" s="28" t="str">
        <f aca="false">INDEX(Turmas!$K:$K,MATCH(B245,Turmas!$M:$M,0))&amp;" | "&amp;INDEX(Turmas!$L:$L,MATCH(B245,Turmas!$M:$M,0))</f>
        <v>CICLO II  -  2º ANO | MANHÃ</v>
      </c>
    </row>
    <row r="246" customFormat="false" ht="15" hidden="false" customHeight="false" outlineLevel="0" collapsed="false">
      <c r="A246" s="28" t="str">
        <f aca="false">B246&amp;"|"&amp;C246</f>
        <v>C22101|7</v>
      </c>
      <c r="B246" s="28" t="s">
        <v>67</v>
      </c>
      <c r="C246" s="28" t="n">
        <v>7</v>
      </c>
      <c r="D246" s="28" t="s">
        <v>93</v>
      </c>
      <c r="E246" s="28" t="s">
        <v>101</v>
      </c>
      <c r="F246" s="28" t="s">
        <v>95</v>
      </c>
      <c r="G246" s="29"/>
      <c r="H246" s="29"/>
      <c r="I246" s="28"/>
      <c r="J246" s="28" t="str">
        <f aca="false">INDEX(Turmas!$K:$K,MATCH(B246,Turmas!$M:$M,0))&amp;" | "&amp;INDEX(Turmas!$L:$L,MATCH(B246,Turmas!$M:$M,0))</f>
        <v>CICLO II  -  2º ANO | MANHÃ</v>
      </c>
    </row>
    <row r="247" customFormat="false" ht="15" hidden="false" customHeight="false" outlineLevel="0" collapsed="false">
      <c r="A247" s="28" t="str">
        <f aca="false">B247&amp;"|"&amp;C247</f>
        <v>C22101|8</v>
      </c>
      <c r="B247" s="28" t="s">
        <v>67</v>
      </c>
      <c r="C247" s="28" t="n">
        <v>8</v>
      </c>
      <c r="D247" s="28" t="s">
        <v>102</v>
      </c>
      <c r="E247" s="28" t="s">
        <v>103</v>
      </c>
      <c r="F247" s="28" t="s">
        <v>95</v>
      </c>
      <c r="G247" s="29"/>
      <c r="H247" s="29"/>
      <c r="I247" s="28"/>
      <c r="J247" s="28" t="str">
        <f aca="false">INDEX(Turmas!$K:$K,MATCH(B247,Turmas!$M:$M,0))&amp;" | "&amp;INDEX(Turmas!$L:$L,MATCH(B247,Turmas!$M:$M,0))</f>
        <v>CICLO II  -  2º ANO | MANHÃ</v>
      </c>
    </row>
    <row r="248" customFormat="false" ht="15" hidden="false" customHeight="false" outlineLevel="0" collapsed="false">
      <c r="A248" s="28" t="str">
        <f aca="false">B248&amp;"|"&amp;C248</f>
        <v>C22101|9</v>
      </c>
      <c r="B248" s="28" t="s">
        <v>67</v>
      </c>
      <c r="C248" s="28" t="n">
        <v>9</v>
      </c>
      <c r="D248" s="28" t="s">
        <v>102</v>
      </c>
      <c r="E248" s="28" t="s">
        <v>104</v>
      </c>
      <c r="F248" s="28" t="s">
        <v>95</v>
      </c>
      <c r="G248" s="29"/>
      <c r="H248" s="29"/>
      <c r="I248" s="28"/>
      <c r="J248" s="28" t="str">
        <f aca="false">INDEX(Turmas!$K:$K,MATCH(B248,Turmas!$M:$M,0))&amp;" | "&amp;INDEX(Turmas!$L:$L,MATCH(B248,Turmas!$M:$M,0))</f>
        <v>CICLO II  -  2º ANO | MANHÃ</v>
      </c>
    </row>
    <row r="249" customFormat="false" ht="15" hidden="false" customHeight="false" outlineLevel="0" collapsed="false">
      <c r="A249" s="28" t="str">
        <f aca="false">B249&amp;"|"&amp;C249</f>
        <v>C22101|10</v>
      </c>
      <c r="B249" s="28" t="s">
        <v>67</v>
      </c>
      <c r="C249" s="28" t="n">
        <v>10</v>
      </c>
      <c r="D249" s="28" t="s">
        <v>102</v>
      </c>
      <c r="E249" s="28" t="s">
        <v>105</v>
      </c>
      <c r="F249" s="28" t="s">
        <v>95</v>
      </c>
      <c r="G249" s="29"/>
      <c r="H249" s="29"/>
      <c r="I249" s="28"/>
      <c r="J249" s="28" t="str">
        <f aca="false">INDEX(Turmas!$K:$K,MATCH(B249,Turmas!$M:$M,0))&amp;" | "&amp;INDEX(Turmas!$L:$L,MATCH(B249,Turmas!$M:$M,0))</f>
        <v>CICLO II  -  2º ANO | MANHÃ</v>
      </c>
    </row>
    <row r="250" customFormat="false" ht="15" hidden="false" customHeight="false" outlineLevel="0" collapsed="false">
      <c r="A250" s="28" t="str">
        <f aca="false">B250&amp;"|"&amp;C250</f>
        <v>C22101|11</v>
      </c>
      <c r="B250" s="28" t="s">
        <v>67</v>
      </c>
      <c r="C250" s="28" t="n">
        <v>11</v>
      </c>
      <c r="D250" s="28" t="s">
        <v>102</v>
      </c>
      <c r="E250" s="28" t="s">
        <v>106</v>
      </c>
      <c r="F250" s="28" t="s">
        <v>95</v>
      </c>
      <c r="G250" s="29"/>
      <c r="H250" s="29"/>
      <c r="I250" s="28"/>
      <c r="J250" s="28" t="str">
        <f aca="false">INDEX(Turmas!$K:$K,MATCH(B250,Turmas!$M:$M,0))&amp;" | "&amp;INDEX(Turmas!$L:$L,MATCH(B250,Turmas!$M:$M,0))</f>
        <v>CICLO II  -  2º ANO | MANHÃ</v>
      </c>
    </row>
    <row r="251" customFormat="false" ht="15" hidden="false" customHeight="false" outlineLevel="0" collapsed="false">
      <c r="A251" s="28" t="str">
        <f aca="false">B251&amp;"|"&amp;C251</f>
        <v>C22101|12</v>
      </c>
      <c r="B251" s="28" t="s">
        <v>67</v>
      </c>
      <c r="C251" s="28" t="n">
        <v>12</v>
      </c>
      <c r="D251" s="28" t="s">
        <v>102</v>
      </c>
      <c r="E251" s="28" t="s">
        <v>107</v>
      </c>
      <c r="F251" s="28" t="s">
        <v>95</v>
      </c>
      <c r="G251" s="29"/>
      <c r="H251" s="29"/>
      <c r="I251" s="28"/>
      <c r="J251" s="28" t="str">
        <f aca="false">INDEX(Turmas!$K:$K,MATCH(B251,Turmas!$M:$M,0))&amp;" | "&amp;INDEX(Turmas!$L:$L,MATCH(B251,Turmas!$M:$M,0))</f>
        <v>CICLO II  -  2º ANO | MANHÃ</v>
      </c>
    </row>
    <row r="252" customFormat="false" ht="15" hidden="false" customHeight="false" outlineLevel="0" collapsed="false">
      <c r="A252" s="28" t="str">
        <f aca="false">B252&amp;"|"&amp;C252</f>
        <v>C22101|13</v>
      </c>
      <c r="B252" s="28" t="s">
        <v>67</v>
      </c>
      <c r="C252" s="28" t="n">
        <v>13</v>
      </c>
      <c r="D252" s="28" t="s">
        <v>102</v>
      </c>
      <c r="E252" s="28" t="s">
        <v>108</v>
      </c>
      <c r="F252" s="28" t="s">
        <v>95</v>
      </c>
      <c r="G252" s="29"/>
      <c r="H252" s="29"/>
      <c r="I252" s="28"/>
      <c r="J252" s="28" t="str">
        <f aca="false">INDEX(Turmas!$K:$K,MATCH(B252,Turmas!$M:$M,0))&amp;" | "&amp;INDEX(Turmas!$L:$L,MATCH(B252,Turmas!$M:$M,0))</f>
        <v>CICLO II  -  2º ANO | MANHÃ</v>
      </c>
    </row>
    <row r="253" customFormat="false" ht="15" hidden="false" customHeight="false" outlineLevel="0" collapsed="false">
      <c r="A253" s="28" t="str">
        <f aca="false">B253&amp;"|"&amp;C253</f>
        <v>C22101|14</v>
      </c>
      <c r="B253" s="28" t="s">
        <v>67</v>
      </c>
      <c r="C253" s="28" t="n">
        <v>14</v>
      </c>
      <c r="D253" s="28" t="s">
        <v>102</v>
      </c>
      <c r="E253" s="28" t="s">
        <v>109</v>
      </c>
      <c r="F253" s="28" t="s">
        <v>95</v>
      </c>
      <c r="G253" s="29"/>
      <c r="H253" s="29"/>
      <c r="I253" s="28"/>
      <c r="J253" s="28" t="str">
        <f aca="false">INDEX(Turmas!$K:$K,MATCH(B253,Turmas!$M:$M,0))&amp;" | "&amp;INDEX(Turmas!$L:$L,MATCH(B253,Turmas!$M:$M,0))</f>
        <v>CICLO II  -  2º ANO | MANHÃ</v>
      </c>
    </row>
    <row r="254" customFormat="false" ht="15" hidden="false" customHeight="false" outlineLevel="0" collapsed="false">
      <c r="A254" s="28" t="str">
        <f aca="false">B254&amp;"|"&amp;C254</f>
        <v>C22101|15</v>
      </c>
      <c r="B254" s="28" t="s">
        <v>67</v>
      </c>
      <c r="C254" s="28" t="n">
        <v>15</v>
      </c>
      <c r="D254" s="28" t="s">
        <v>102</v>
      </c>
      <c r="E254" s="28" t="s">
        <v>110</v>
      </c>
      <c r="F254" s="28" t="s">
        <v>95</v>
      </c>
      <c r="G254" s="29"/>
      <c r="H254" s="29"/>
      <c r="I254" s="28"/>
      <c r="J254" s="28" t="str">
        <f aca="false">INDEX(Turmas!$K:$K,MATCH(B254,Turmas!$M:$M,0))&amp;" | "&amp;INDEX(Turmas!$L:$L,MATCH(B254,Turmas!$M:$M,0))</f>
        <v>CICLO II  -  2º ANO | MANHÃ</v>
      </c>
    </row>
    <row r="255" customFormat="false" ht="15" hidden="false" customHeight="false" outlineLevel="0" collapsed="false">
      <c r="A255" s="28" t="str">
        <f aca="false">B255&amp;"|"&amp;C255</f>
        <v>C22101|16</v>
      </c>
      <c r="B255" s="28" t="s">
        <v>67</v>
      </c>
      <c r="C255" s="28" t="n">
        <v>16</v>
      </c>
      <c r="D255" s="28" t="s">
        <v>111</v>
      </c>
      <c r="E255" s="28" t="s">
        <v>112</v>
      </c>
      <c r="F255" s="28" t="s">
        <v>95</v>
      </c>
      <c r="G255" s="29"/>
      <c r="H255" s="29"/>
      <c r="I255" s="28"/>
      <c r="J255" s="28" t="str">
        <f aca="false">INDEX(Turmas!$K:$K,MATCH(B255,Turmas!$M:$M,0))&amp;" | "&amp;INDEX(Turmas!$L:$L,MATCH(B255,Turmas!$M:$M,0))</f>
        <v>CICLO II  -  2º ANO | MANHÃ</v>
      </c>
    </row>
    <row r="256" customFormat="false" ht="15" hidden="false" customHeight="false" outlineLevel="0" collapsed="false">
      <c r="A256" s="28" t="str">
        <f aca="false">B256&amp;"|"&amp;C256</f>
        <v>C22101|17</v>
      </c>
      <c r="B256" s="28" t="s">
        <v>67</v>
      </c>
      <c r="C256" s="28" t="n">
        <v>17</v>
      </c>
      <c r="D256" s="28" t="s">
        <v>111</v>
      </c>
      <c r="E256" s="28" t="s">
        <v>113</v>
      </c>
      <c r="F256" s="28" t="s">
        <v>95</v>
      </c>
      <c r="G256" s="29"/>
      <c r="H256" s="29"/>
      <c r="I256" s="28"/>
      <c r="J256" s="28" t="str">
        <f aca="false">INDEX(Turmas!$K:$K,MATCH(B256,Turmas!$M:$M,0))&amp;" | "&amp;INDEX(Turmas!$L:$L,MATCH(B256,Turmas!$M:$M,0))</f>
        <v>CICLO II  -  2º ANO | MANHÃ</v>
      </c>
    </row>
    <row r="257" customFormat="false" ht="15" hidden="false" customHeight="false" outlineLevel="0" collapsed="false">
      <c r="A257" s="28" t="str">
        <f aca="false">B257&amp;"|"&amp;C257</f>
        <v>C22101|18</v>
      </c>
      <c r="B257" s="28" t="s">
        <v>67</v>
      </c>
      <c r="C257" s="28" t="n">
        <v>18</v>
      </c>
      <c r="D257" s="28" t="s">
        <v>111</v>
      </c>
      <c r="E257" s="28" t="s">
        <v>114</v>
      </c>
      <c r="F257" s="28" t="s">
        <v>95</v>
      </c>
      <c r="G257" s="29"/>
      <c r="H257" s="29"/>
      <c r="I257" s="28"/>
      <c r="J257" s="28" t="str">
        <f aca="false">INDEX(Turmas!$K:$K,MATCH(B257,Turmas!$M:$M,0))&amp;" | "&amp;INDEX(Turmas!$L:$L,MATCH(B257,Turmas!$M:$M,0))</f>
        <v>CICLO II  -  2º ANO | MANHÃ</v>
      </c>
    </row>
    <row r="258" customFormat="false" ht="15" hidden="false" customHeight="false" outlineLevel="0" collapsed="false">
      <c r="A258" s="28" t="str">
        <f aca="false">B258&amp;"|"&amp;C258</f>
        <v>C22101|19</v>
      </c>
      <c r="B258" s="28" t="s">
        <v>67</v>
      </c>
      <c r="C258" s="28" t="n">
        <v>19</v>
      </c>
      <c r="D258" s="28" t="s">
        <v>111</v>
      </c>
      <c r="E258" s="28" t="s">
        <v>115</v>
      </c>
      <c r="F258" s="28" t="s">
        <v>95</v>
      </c>
      <c r="G258" s="29"/>
      <c r="H258" s="29"/>
      <c r="I258" s="28"/>
      <c r="J258" s="28" t="str">
        <f aca="false">INDEX(Turmas!$K:$K,MATCH(B258,Turmas!$M:$M,0))&amp;" | "&amp;INDEX(Turmas!$L:$L,MATCH(B258,Turmas!$M:$M,0))</f>
        <v>CICLO II  -  2º ANO | MANHÃ</v>
      </c>
    </row>
    <row r="259" customFormat="false" ht="15" hidden="false" customHeight="false" outlineLevel="0" collapsed="false">
      <c r="A259" s="28" t="str">
        <f aca="false">B259&amp;"|"&amp;C259</f>
        <v>C22101|20</v>
      </c>
      <c r="B259" s="28" t="s">
        <v>67</v>
      </c>
      <c r="C259" s="28" t="n">
        <v>20</v>
      </c>
      <c r="D259" s="28" t="s">
        <v>111</v>
      </c>
      <c r="E259" s="28" t="s">
        <v>116</v>
      </c>
      <c r="F259" s="28" t="s">
        <v>95</v>
      </c>
      <c r="G259" s="29"/>
      <c r="H259" s="29"/>
      <c r="I259" s="28"/>
      <c r="J259" s="28" t="str">
        <f aca="false">INDEX(Turmas!$K:$K,MATCH(B259,Turmas!$M:$M,0))&amp;" | "&amp;INDEX(Turmas!$L:$L,MATCH(B259,Turmas!$M:$M,0))</f>
        <v>CICLO II  -  2º ANO | MANHÃ</v>
      </c>
    </row>
    <row r="260" customFormat="false" ht="15" hidden="false" customHeight="false" outlineLevel="0" collapsed="false">
      <c r="A260" s="28" t="str">
        <f aca="false">B260&amp;"|"&amp;C260</f>
        <v>C22101|21</v>
      </c>
      <c r="B260" s="28" t="s">
        <v>67</v>
      </c>
      <c r="C260" s="28" t="n">
        <v>21</v>
      </c>
      <c r="D260" s="28" t="s">
        <v>111</v>
      </c>
      <c r="E260" s="28" t="s">
        <v>117</v>
      </c>
      <c r="F260" s="28" t="s">
        <v>95</v>
      </c>
      <c r="G260" s="29"/>
      <c r="H260" s="29"/>
      <c r="I260" s="28"/>
      <c r="J260" s="28" t="str">
        <f aca="false">INDEX(Turmas!$K:$K,MATCH(B260,Turmas!$M:$M,0))&amp;" | "&amp;INDEX(Turmas!$L:$L,MATCH(B260,Turmas!$M:$M,0))</f>
        <v>CICLO II  -  2º ANO | MANHÃ</v>
      </c>
    </row>
    <row r="261" customFormat="false" ht="15" hidden="false" customHeight="false" outlineLevel="0" collapsed="false">
      <c r="A261" s="28" t="str">
        <f aca="false">B261&amp;"|"&amp;C261</f>
        <v>C22101|22</v>
      </c>
      <c r="B261" s="28" t="s">
        <v>67</v>
      </c>
      <c r="C261" s="28" t="n">
        <v>22</v>
      </c>
      <c r="D261" s="28" t="s">
        <v>111</v>
      </c>
      <c r="E261" s="28" t="s">
        <v>118</v>
      </c>
      <c r="F261" s="28" t="s">
        <v>95</v>
      </c>
      <c r="G261" s="29"/>
      <c r="H261" s="29"/>
      <c r="I261" s="28"/>
      <c r="J261" s="28" t="str">
        <f aca="false">INDEX(Turmas!$K:$K,MATCH(B261,Turmas!$M:$M,0))&amp;" | "&amp;INDEX(Turmas!$L:$L,MATCH(B261,Turmas!$M:$M,0))</f>
        <v>CICLO II  -  2º ANO | MANHÃ</v>
      </c>
    </row>
    <row r="262" customFormat="false" ht="15" hidden="false" customHeight="false" outlineLevel="0" collapsed="false">
      <c r="A262" s="28" t="str">
        <f aca="false">B262&amp;"|"&amp;C262</f>
        <v>C22101|23</v>
      </c>
      <c r="B262" s="28" t="s">
        <v>67</v>
      </c>
      <c r="C262" s="28" t="n">
        <v>23</v>
      </c>
      <c r="D262" s="28" t="s">
        <v>111</v>
      </c>
      <c r="E262" s="28" t="s">
        <v>119</v>
      </c>
      <c r="F262" s="28" t="s">
        <v>95</v>
      </c>
      <c r="G262" s="29"/>
      <c r="H262" s="29"/>
      <c r="I262" s="28"/>
      <c r="J262" s="28" t="str">
        <f aca="false">INDEX(Turmas!$K:$K,MATCH(B262,Turmas!$M:$M,0))&amp;" | "&amp;INDEX(Turmas!$L:$L,MATCH(B262,Turmas!$M:$M,0))</f>
        <v>CICLO II  -  2º ANO | MANHÃ</v>
      </c>
    </row>
    <row r="263" customFormat="false" ht="15" hidden="false" customHeight="false" outlineLevel="0" collapsed="false">
      <c r="A263" s="28" t="str">
        <f aca="false">B263&amp;"|"&amp;C263</f>
        <v>C22101|24</v>
      </c>
      <c r="B263" s="28" t="s">
        <v>67</v>
      </c>
      <c r="C263" s="28" t="n">
        <v>24</v>
      </c>
      <c r="D263" s="28" t="s">
        <v>111</v>
      </c>
      <c r="E263" s="28" t="s">
        <v>120</v>
      </c>
      <c r="F263" s="28" t="s">
        <v>95</v>
      </c>
      <c r="G263" s="29"/>
      <c r="H263" s="29"/>
      <c r="I263" s="28"/>
      <c r="J263" s="28" t="str">
        <f aca="false">INDEX(Turmas!$K:$K,MATCH(B263,Turmas!$M:$M,0))&amp;" | "&amp;INDEX(Turmas!$L:$L,MATCH(B263,Turmas!$M:$M,0))</f>
        <v>CICLO II  -  2º ANO | MANHÃ</v>
      </c>
    </row>
    <row r="264" customFormat="false" ht="15" hidden="false" customHeight="false" outlineLevel="0" collapsed="false">
      <c r="A264" s="28" t="str">
        <f aca="false">B264&amp;"|"&amp;C264</f>
        <v>C22101|25</v>
      </c>
      <c r="B264" s="28" t="s">
        <v>67</v>
      </c>
      <c r="C264" s="28" t="n">
        <v>25</v>
      </c>
      <c r="D264" s="28" t="s">
        <v>121</v>
      </c>
      <c r="E264" s="28" t="s">
        <v>122</v>
      </c>
      <c r="F264" s="28" t="s">
        <v>95</v>
      </c>
      <c r="G264" s="29"/>
      <c r="H264" s="29"/>
      <c r="I264" s="28"/>
      <c r="J264" s="28" t="str">
        <f aca="false">INDEX(Turmas!$K:$K,MATCH(B264,Turmas!$M:$M,0))&amp;" | "&amp;INDEX(Turmas!$L:$L,MATCH(B264,Turmas!$M:$M,0))</f>
        <v>CICLO II  -  2º ANO | MANHÃ</v>
      </c>
    </row>
    <row r="265" customFormat="false" ht="15" hidden="false" customHeight="false" outlineLevel="0" collapsed="false">
      <c r="A265" s="28" t="str">
        <f aca="false">B265&amp;"|"&amp;C265</f>
        <v>C22101|26</v>
      </c>
      <c r="B265" s="28" t="s">
        <v>67</v>
      </c>
      <c r="C265" s="28" t="n">
        <v>26</v>
      </c>
      <c r="D265" s="28" t="s">
        <v>121</v>
      </c>
      <c r="E265" s="28" t="s">
        <v>123</v>
      </c>
      <c r="F265" s="28" t="s">
        <v>95</v>
      </c>
      <c r="G265" s="29"/>
      <c r="H265" s="29"/>
      <c r="I265" s="28"/>
      <c r="J265" s="28" t="str">
        <f aca="false">INDEX(Turmas!$K:$K,MATCH(B265,Turmas!$M:$M,0))&amp;" | "&amp;INDEX(Turmas!$L:$L,MATCH(B265,Turmas!$M:$M,0))</f>
        <v>CICLO II  -  2º ANO | MANHÃ</v>
      </c>
    </row>
    <row r="266" customFormat="false" ht="15" hidden="false" customHeight="false" outlineLevel="0" collapsed="false">
      <c r="A266" s="28" t="str">
        <f aca="false">B266&amp;"|"&amp;C266</f>
        <v>C22101|27</v>
      </c>
      <c r="B266" s="28" t="s">
        <v>67</v>
      </c>
      <c r="C266" s="28" t="n">
        <v>27</v>
      </c>
      <c r="D266" s="28" t="s">
        <v>121</v>
      </c>
      <c r="E266" s="28" t="s">
        <v>124</v>
      </c>
      <c r="F266" s="28" t="s">
        <v>95</v>
      </c>
      <c r="G266" s="29"/>
      <c r="H266" s="29"/>
      <c r="I266" s="28"/>
      <c r="J266" s="28" t="str">
        <f aca="false">INDEX(Turmas!$K:$K,MATCH(B266,Turmas!$M:$M,0))&amp;" | "&amp;INDEX(Turmas!$L:$L,MATCH(B266,Turmas!$M:$M,0))</f>
        <v>CICLO II  -  2º ANO | MANHÃ</v>
      </c>
    </row>
    <row r="267" customFormat="false" ht="15" hidden="false" customHeight="false" outlineLevel="0" collapsed="false">
      <c r="A267" s="28" t="str">
        <f aca="false">B267&amp;"|"&amp;C267</f>
        <v>C22101|28</v>
      </c>
      <c r="B267" s="28" t="s">
        <v>67</v>
      </c>
      <c r="C267" s="28" t="n">
        <v>28</v>
      </c>
      <c r="D267" s="28" t="s">
        <v>121</v>
      </c>
      <c r="E267" s="28" t="s">
        <v>125</v>
      </c>
      <c r="F267" s="28" t="s">
        <v>95</v>
      </c>
      <c r="G267" s="29"/>
      <c r="H267" s="29"/>
      <c r="I267" s="28"/>
      <c r="J267" s="28" t="str">
        <f aca="false">INDEX(Turmas!$K:$K,MATCH(B267,Turmas!$M:$M,0))&amp;" | "&amp;INDEX(Turmas!$L:$L,MATCH(B267,Turmas!$M:$M,0))</f>
        <v>CICLO II  -  2º ANO | MANHÃ</v>
      </c>
    </row>
    <row r="268" customFormat="false" ht="15" hidden="false" customHeight="false" outlineLevel="0" collapsed="false">
      <c r="A268" s="28" t="str">
        <f aca="false">B268&amp;"|"&amp;C268</f>
        <v>C22101|29</v>
      </c>
      <c r="B268" s="28" t="s">
        <v>67</v>
      </c>
      <c r="C268" s="28" t="n">
        <v>29</v>
      </c>
      <c r="D268" s="28" t="s">
        <v>121</v>
      </c>
      <c r="E268" s="28" t="s">
        <v>126</v>
      </c>
      <c r="F268" s="28" t="s">
        <v>95</v>
      </c>
      <c r="G268" s="29"/>
      <c r="H268" s="29"/>
      <c r="I268" s="28"/>
      <c r="J268" s="28" t="str">
        <f aca="false">INDEX(Turmas!$K:$K,MATCH(B268,Turmas!$M:$M,0))&amp;" | "&amp;INDEX(Turmas!$L:$L,MATCH(B268,Turmas!$M:$M,0))</f>
        <v>CICLO II  -  2º ANO | MANHÃ</v>
      </c>
    </row>
    <row r="269" customFormat="false" ht="15" hidden="false" customHeight="false" outlineLevel="0" collapsed="false">
      <c r="A269" s="28" t="str">
        <f aca="false">B269&amp;"|"&amp;C269</f>
        <v>C22101|30</v>
      </c>
      <c r="B269" s="28" t="s">
        <v>67</v>
      </c>
      <c r="C269" s="28" t="n">
        <v>30</v>
      </c>
      <c r="D269" s="28" t="s">
        <v>127</v>
      </c>
      <c r="E269" s="28" t="s">
        <v>128</v>
      </c>
      <c r="F269" s="28" t="s">
        <v>95</v>
      </c>
      <c r="G269" s="29"/>
      <c r="H269" s="29"/>
      <c r="I269" s="28"/>
      <c r="J269" s="28" t="str">
        <f aca="false">INDEX(Turmas!$K:$K,MATCH(B269,Turmas!$M:$M,0))&amp;" | "&amp;INDEX(Turmas!$L:$L,MATCH(B269,Turmas!$M:$M,0))</f>
        <v>CICLO II  -  2º ANO | MANHÃ</v>
      </c>
    </row>
    <row r="270" customFormat="false" ht="15" hidden="false" customHeight="false" outlineLevel="0" collapsed="false">
      <c r="A270" s="28" t="str">
        <f aca="false">B270&amp;"|"&amp;C270</f>
        <v>C22101|31</v>
      </c>
      <c r="B270" s="28" t="s">
        <v>67</v>
      </c>
      <c r="C270" s="28" t="n">
        <v>31</v>
      </c>
      <c r="D270" s="28" t="s">
        <v>127</v>
      </c>
      <c r="E270" s="28" t="s">
        <v>108</v>
      </c>
      <c r="F270" s="28" t="s">
        <v>95</v>
      </c>
      <c r="G270" s="29"/>
      <c r="H270" s="29"/>
      <c r="I270" s="28"/>
      <c r="J270" s="28" t="str">
        <f aca="false">INDEX(Turmas!$K:$K,MATCH(B270,Turmas!$M:$M,0))&amp;" | "&amp;INDEX(Turmas!$L:$L,MATCH(B270,Turmas!$M:$M,0))</f>
        <v>CICLO II  -  2º ANO | MANHÃ</v>
      </c>
    </row>
    <row r="271" customFormat="false" ht="15" hidden="false" customHeight="false" outlineLevel="0" collapsed="false">
      <c r="A271" s="28" t="str">
        <f aca="false">B271&amp;"|"&amp;C271</f>
        <v>C22101|32</v>
      </c>
      <c r="B271" s="28" t="s">
        <v>67</v>
      </c>
      <c r="C271" s="28" t="n">
        <v>32</v>
      </c>
      <c r="D271" s="28" t="s">
        <v>127</v>
      </c>
      <c r="E271" s="28" t="s">
        <v>129</v>
      </c>
      <c r="F271" s="28" t="s">
        <v>95</v>
      </c>
      <c r="G271" s="29"/>
      <c r="H271" s="29"/>
      <c r="I271" s="28"/>
      <c r="J271" s="28" t="str">
        <f aca="false">INDEX(Turmas!$K:$K,MATCH(B271,Turmas!$M:$M,0))&amp;" | "&amp;INDEX(Turmas!$L:$L,MATCH(B271,Turmas!$M:$M,0))</f>
        <v>CICLO II  -  2º ANO | MANHÃ</v>
      </c>
    </row>
    <row r="272" customFormat="false" ht="15" hidden="false" customHeight="false" outlineLevel="0" collapsed="false">
      <c r="A272" s="28" t="str">
        <f aca="false">B272&amp;"|"&amp;C272</f>
        <v>C22101|33</v>
      </c>
      <c r="B272" s="28" t="s">
        <v>67</v>
      </c>
      <c r="C272" s="28" t="n">
        <v>33</v>
      </c>
      <c r="D272" s="28" t="s">
        <v>127</v>
      </c>
      <c r="E272" s="28" t="s">
        <v>130</v>
      </c>
      <c r="F272" s="28" t="s">
        <v>95</v>
      </c>
      <c r="G272" s="29"/>
      <c r="H272" s="29"/>
      <c r="I272" s="28"/>
      <c r="J272" s="28" t="str">
        <f aca="false">INDEX(Turmas!$K:$K,MATCH(B272,Turmas!$M:$M,0))&amp;" | "&amp;INDEX(Turmas!$L:$L,MATCH(B272,Turmas!$M:$M,0))</f>
        <v>CICLO II  -  2º ANO | MANHÃ</v>
      </c>
    </row>
    <row r="273" customFormat="false" ht="15" hidden="false" customHeight="false" outlineLevel="0" collapsed="false">
      <c r="A273" s="28" t="str">
        <f aca="false">B273&amp;"|"&amp;C273</f>
        <v>C22101|34</v>
      </c>
      <c r="B273" s="28" t="s">
        <v>67</v>
      </c>
      <c r="C273" s="28" t="n">
        <v>34</v>
      </c>
      <c r="D273" s="28" t="s">
        <v>127</v>
      </c>
      <c r="E273" s="28" t="s">
        <v>131</v>
      </c>
      <c r="F273" s="28" t="s">
        <v>95</v>
      </c>
      <c r="G273" s="29"/>
      <c r="H273" s="29"/>
      <c r="I273" s="28"/>
      <c r="J273" s="28" t="str">
        <f aca="false">INDEX(Turmas!$K:$K,MATCH(B273,Turmas!$M:$M,0))&amp;" | "&amp;INDEX(Turmas!$L:$L,MATCH(B273,Turmas!$M:$M,0))</f>
        <v>CICLO II  -  2º ANO | MANHÃ</v>
      </c>
    </row>
    <row r="274" customFormat="false" ht="15" hidden="false" customHeight="false" outlineLevel="0" collapsed="false">
      <c r="A274" s="28" t="str">
        <f aca="false">B274&amp;"|"&amp;C274</f>
        <v>C21102|1</v>
      </c>
      <c r="B274" s="28" t="s">
        <v>69</v>
      </c>
      <c r="C274" s="28" t="n">
        <v>1</v>
      </c>
      <c r="D274" s="28" t="s">
        <v>93</v>
      </c>
      <c r="E274" s="28" t="s">
        <v>94</v>
      </c>
      <c r="F274" s="28" t="s">
        <v>95</v>
      </c>
      <c r="G274" s="29"/>
      <c r="H274" s="29"/>
      <c r="I274" s="28"/>
      <c r="J274" s="28" t="str">
        <f aca="false">INDEX(Turmas!$K:$K,MATCH(B274,Turmas!$M:$M,0))&amp;" | "&amp;INDEX(Turmas!$L:$L,MATCH(B274,Turmas!$M:$M,0))</f>
        <v>CICLO II  -  1º ANO | MANHÃ</v>
      </c>
    </row>
    <row r="275" customFormat="false" ht="15" hidden="false" customHeight="false" outlineLevel="0" collapsed="false">
      <c r="A275" s="28" t="str">
        <f aca="false">B275&amp;"|"&amp;C275</f>
        <v>C21102|2</v>
      </c>
      <c r="B275" s="28" t="s">
        <v>69</v>
      </c>
      <c r="C275" s="28" t="n">
        <v>2</v>
      </c>
      <c r="D275" s="28" t="s">
        <v>93</v>
      </c>
      <c r="E275" s="28" t="s">
        <v>96</v>
      </c>
      <c r="F275" s="28" t="s">
        <v>95</v>
      </c>
      <c r="G275" s="29"/>
      <c r="H275" s="29"/>
      <c r="I275" s="28"/>
      <c r="J275" s="28" t="str">
        <f aca="false">INDEX(Turmas!$K:$K,MATCH(B275,Turmas!$M:$M,0))&amp;" | "&amp;INDEX(Turmas!$L:$L,MATCH(B275,Turmas!$M:$M,0))</f>
        <v>CICLO II  -  1º ANO | MANHÃ</v>
      </c>
    </row>
    <row r="276" customFormat="false" ht="15" hidden="false" customHeight="false" outlineLevel="0" collapsed="false">
      <c r="A276" s="28" t="str">
        <f aca="false">B276&amp;"|"&amp;C276</f>
        <v>C21102|3</v>
      </c>
      <c r="B276" s="28" t="s">
        <v>69</v>
      </c>
      <c r="C276" s="28" t="n">
        <v>3</v>
      </c>
      <c r="D276" s="28" t="s">
        <v>93</v>
      </c>
      <c r="E276" s="28" t="s">
        <v>97</v>
      </c>
      <c r="F276" s="28" t="s">
        <v>95</v>
      </c>
      <c r="G276" s="29"/>
      <c r="H276" s="29"/>
      <c r="I276" s="28"/>
      <c r="J276" s="28" t="str">
        <f aca="false">INDEX(Turmas!$K:$K,MATCH(B276,Turmas!$M:$M,0))&amp;" | "&amp;INDEX(Turmas!$L:$L,MATCH(B276,Turmas!$M:$M,0))</f>
        <v>CICLO II  -  1º ANO | MANHÃ</v>
      </c>
    </row>
    <row r="277" customFormat="false" ht="15" hidden="false" customHeight="false" outlineLevel="0" collapsed="false">
      <c r="A277" s="28" t="str">
        <f aca="false">B277&amp;"|"&amp;C277</f>
        <v>C21102|4</v>
      </c>
      <c r="B277" s="28" t="s">
        <v>69</v>
      </c>
      <c r="C277" s="28" t="n">
        <v>4</v>
      </c>
      <c r="D277" s="28" t="s">
        <v>93</v>
      </c>
      <c r="E277" s="28" t="s">
        <v>98</v>
      </c>
      <c r="F277" s="28" t="s">
        <v>95</v>
      </c>
      <c r="G277" s="29"/>
      <c r="H277" s="29"/>
      <c r="I277" s="28"/>
      <c r="J277" s="28" t="str">
        <f aca="false">INDEX(Turmas!$K:$K,MATCH(B277,Turmas!$M:$M,0))&amp;" | "&amp;INDEX(Turmas!$L:$L,MATCH(B277,Turmas!$M:$M,0))</f>
        <v>CICLO II  -  1º ANO | MANHÃ</v>
      </c>
    </row>
    <row r="278" customFormat="false" ht="15" hidden="false" customHeight="false" outlineLevel="0" collapsed="false">
      <c r="A278" s="28" t="str">
        <f aca="false">B278&amp;"|"&amp;C278</f>
        <v>C21102|5</v>
      </c>
      <c r="B278" s="28" t="s">
        <v>69</v>
      </c>
      <c r="C278" s="28" t="n">
        <v>5</v>
      </c>
      <c r="D278" s="28" t="s">
        <v>93</v>
      </c>
      <c r="E278" s="28" t="s">
        <v>99</v>
      </c>
      <c r="F278" s="28" t="s">
        <v>95</v>
      </c>
      <c r="G278" s="29"/>
      <c r="H278" s="29"/>
      <c r="I278" s="28"/>
      <c r="J278" s="28" t="str">
        <f aca="false">INDEX(Turmas!$K:$K,MATCH(B278,Turmas!$M:$M,0))&amp;" | "&amp;INDEX(Turmas!$L:$L,MATCH(B278,Turmas!$M:$M,0))</f>
        <v>CICLO II  -  1º ANO | MANHÃ</v>
      </c>
    </row>
    <row r="279" customFormat="false" ht="15" hidden="false" customHeight="false" outlineLevel="0" collapsed="false">
      <c r="A279" s="28" t="str">
        <f aca="false">B279&amp;"|"&amp;C279</f>
        <v>C21102|6</v>
      </c>
      <c r="B279" s="28" t="s">
        <v>69</v>
      </c>
      <c r="C279" s="28" t="n">
        <v>6</v>
      </c>
      <c r="D279" s="28" t="s">
        <v>93</v>
      </c>
      <c r="E279" s="28" t="s">
        <v>100</v>
      </c>
      <c r="F279" s="28" t="s">
        <v>95</v>
      </c>
      <c r="G279" s="29"/>
      <c r="H279" s="29"/>
      <c r="I279" s="28"/>
      <c r="J279" s="28" t="str">
        <f aca="false">INDEX(Turmas!$K:$K,MATCH(B279,Turmas!$M:$M,0))&amp;" | "&amp;INDEX(Turmas!$L:$L,MATCH(B279,Turmas!$M:$M,0))</f>
        <v>CICLO II  -  1º ANO | MANHÃ</v>
      </c>
    </row>
    <row r="280" customFormat="false" ht="15" hidden="false" customHeight="false" outlineLevel="0" collapsed="false">
      <c r="A280" s="28" t="str">
        <f aca="false">B280&amp;"|"&amp;C280</f>
        <v>C21102|7</v>
      </c>
      <c r="B280" s="28" t="s">
        <v>69</v>
      </c>
      <c r="C280" s="28" t="n">
        <v>7</v>
      </c>
      <c r="D280" s="28" t="s">
        <v>93</v>
      </c>
      <c r="E280" s="28" t="s">
        <v>101</v>
      </c>
      <c r="F280" s="28" t="s">
        <v>95</v>
      </c>
      <c r="G280" s="29"/>
      <c r="H280" s="29"/>
      <c r="I280" s="28"/>
      <c r="J280" s="28" t="str">
        <f aca="false">INDEX(Turmas!$K:$K,MATCH(B280,Turmas!$M:$M,0))&amp;" | "&amp;INDEX(Turmas!$L:$L,MATCH(B280,Turmas!$M:$M,0))</f>
        <v>CICLO II  -  1º ANO | MANHÃ</v>
      </c>
    </row>
    <row r="281" customFormat="false" ht="15" hidden="false" customHeight="false" outlineLevel="0" collapsed="false">
      <c r="A281" s="28" t="str">
        <f aca="false">B281&amp;"|"&amp;C281</f>
        <v>C21102|8</v>
      </c>
      <c r="B281" s="28" t="s">
        <v>69</v>
      </c>
      <c r="C281" s="28" t="n">
        <v>8</v>
      </c>
      <c r="D281" s="28" t="s">
        <v>102</v>
      </c>
      <c r="E281" s="28" t="s">
        <v>103</v>
      </c>
      <c r="F281" s="28" t="s">
        <v>95</v>
      </c>
      <c r="G281" s="29"/>
      <c r="H281" s="29"/>
      <c r="I281" s="28"/>
      <c r="J281" s="28" t="str">
        <f aca="false">INDEX(Turmas!$K:$K,MATCH(B281,Turmas!$M:$M,0))&amp;" | "&amp;INDEX(Turmas!$L:$L,MATCH(B281,Turmas!$M:$M,0))</f>
        <v>CICLO II  -  1º ANO | MANHÃ</v>
      </c>
    </row>
    <row r="282" customFormat="false" ht="15" hidden="false" customHeight="false" outlineLevel="0" collapsed="false">
      <c r="A282" s="28" t="str">
        <f aca="false">B282&amp;"|"&amp;C282</f>
        <v>C21102|9</v>
      </c>
      <c r="B282" s="28" t="s">
        <v>69</v>
      </c>
      <c r="C282" s="28" t="n">
        <v>9</v>
      </c>
      <c r="D282" s="28" t="s">
        <v>102</v>
      </c>
      <c r="E282" s="28" t="s">
        <v>104</v>
      </c>
      <c r="F282" s="28" t="s">
        <v>95</v>
      </c>
      <c r="G282" s="29"/>
      <c r="H282" s="29"/>
      <c r="I282" s="28"/>
      <c r="J282" s="28" t="str">
        <f aca="false">INDEX(Turmas!$K:$K,MATCH(B282,Turmas!$M:$M,0))&amp;" | "&amp;INDEX(Turmas!$L:$L,MATCH(B282,Turmas!$M:$M,0))</f>
        <v>CICLO II  -  1º ANO | MANHÃ</v>
      </c>
    </row>
    <row r="283" customFormat="false" ht="15" hidden="false" customHeight="false" outlineLevel="0" collapsed="false">
      <c r="A283" s="28" t="str">
        <f aca="false">B283&amp;"|"&amp;C283</f>
        <v>C21102|10</v>
      </c>
      <c r="B283" s="28" t="s">
        <v>69</v>
      </c>
      <c r="C283" s="28" t="n">
        <v>10</v>
      </c>
      <c r="D283" s="28" t="s">
        <v>102</v>
      </c>
      <c r="E283" s="28" t="s">
        <v>105</v>
      </c>
      <c r="F283" s="28" t="s">
        <v>95</v>
      </c>
      <c r="G283" s="29"/>
      <c r="H283" s="29"/>
      <c r="I283" s="28"/>
      <c r="J283" s="28" t="str">
        <f aca="false">INDEX(Turmas!$K:$K,MATCH(B283,Turmas!$M:$M,0))&amp;" | "&amp;INDEX(Turmas!$L:$L,MATCH(B283,Turmas!$M:$M,0))</f>
        <v>CICLO II  -  1º ANO | MANHÃ</v>
      </c>
    </row>
    <row r="284" customFormat="false" ht="15" hidden="false" customHeight="false" outlineLevel="0" collapsed="false">
      <c r="A284" s="28" t="str">
        <f aca="false">B284&amp;"|"&amp;C284</f>
        <v>C21102|11</v>
      </c>
      <c r="B284" s="28" t="s">
        <v>69</v>
      </c>
      <c r="C284" s="28" t="n">
        <v>11</v>
      </c>
      <c r="D284" s="28" t="s">
        <v>102</v>
      </c>
      <c r="E284" s="28" t="s">
        <v>106</v>
      </c>
      <c r="F284" s="28" t="s">
        <v>95</v>
      </c>
      <c r="G284" s="29"/>
      <c r="H284" s="29"/>
      <c r="I284" s="28"/>
      <c r="J284" s="28" t="str">
        <f aca="false">INDEX(Turmas!$K:$K,MATCH(B284,Turmas!$M:$M,0))&amp;" | "&amp;INDEX(Turmas!$L:$L,MATCH(B284,Turmas!$M:$M,0))</f>
        <v>CICLO II  -  1º ANO | MANHÃ</v>
      </c>
    </row>
    <row r="285" customFormat="false" ht="15" hidden="false" customHeight="false" outlineLevel="0" collapsed="false">
      <c r="A285" s="28" t="str">
        <f aca="false">B285&amp;"|"&amp;C285</f>
        <v>C21102|12</v>
      </c>
      <c r="B285" s="28" t="s">
        <v>69</v>
      </c>
      <c r="C285" s="28" t="n">
        <v>12</v>
      </c>
      <c r="D285" s="28" t="s">
        <v>102</v>
      </c>
      <c r="E285" s="28" t="s">
        <v>107</v>
      </c>
      <c r="F285" s="28" t="s">
        <v>95</v>
      </c>
      <c r="G285" s="29"/>
      <c r="H285" s="29"/>
      <c r="I285" s="28"/>
      <c r="J285" s="28" t="str">
        <f aca="false">INDEX(Turmas!$K:$K,MATCH(B285,Turmas!$M:$M,0))&amp;" | "&amp;INDEX(Turmas!$L:$L,MATCH(B285,Turmas!$M:$M,0))</f>
        <v>CICLO II  -  1º ANO | MANHÃ</v>
      </c>
    </row>
    <row r="286" customFormat="false" ht="15" hidden="false" customHeight="false" outlineLevel="0" collapsed="false">
      <c r="A286" s="28" t="str">
        <f aca="false">B286&amp;"|"&amp;C286</f>
        <v>C21102|13</v>
      </c>
      <c r="B286" s="28" t="s">
        <v>69</v>
      </c>
      <c r="C286" s="28" t="n">
        <v>13</v>
      </c>
      <c r="D286" s="28" t="s">
        <v>102</v>
      </c>
      <c r="E286" s="28" t="s">
        <v>108</v>
      </c>
      <c r="F286" s="28" t="s">
        <v>95</v>
      </c>
      <c r="G286" s="29"/>
      <c r="H286" s="29"/>
      <c r="I286" s="28"/>
      <c r="J286" s="28" t="str">
        <f aca="false">INDEX(Turmas!$K:$K,MATCH(B286,Turmas!$M:$M,0))&amp;" | "&amp;INDEX(Turmas!$L:$L,MATCH(B286,Turmas!$M:$M,0))</f>
        <v>CICLO II  -  1º ANO | MANHÃ</v>
      </c>
    </row>
    <row r="287" customFormat="false" ht="15" hidden="false" customHeight="false" outlineLevel="0" collapsed="false">
      <c r="A287" s="28" t="str">
        <f aca="false">B287&amp;"|"&amp;C287</f>
        <v>C21102|14</v>
      </c>
      <c r="B287" s="28" t="s">
        <v>69</v>
      </c>
      <c r="C287" s="28" t="n">
        <v>14</v>
      </c>
      <c r="D287" s="28" t="s">
        <v>102</v>
      </c>
      <c r="E287" s="28" t="s">
        <v>109</v>
      </c>
      <c r="F287" s="28" t="s">
        <v>95</v>
      </c>
      <c r="G287" s="29"/>
      <c r="H287" s="29"/>
      <c r="I287" s="28"/>
      <c r="J287" s="28" t="str">
        <f aca="false">INDEX(Turmas!$K:$K,MATCH(B287,Turmas!$M:$M,0))&amp;" | "&amp;INDEX(Turmas!$L:$L,MATCH(B287,Turmas!$M:$M,0))</f>
        <v>CICLO II  -  1º ANO | MANHÃ</v>
      </c>
    </row>
    <row r="288" customFormat="false" ht="15" hidden="false" customHeight="false" outlineLevel="0" collapsed="false">
      <c r="A288" s="28" t="str">
        <f aca="false">B288&amp;"|"&amp;C288</f>
        <v>C21102|15</v>
      </c>
      <c r="B288" s="28" t="s">
        <v>69</v>
      </c>
      <c r="C288" s="28" t="n">
        <v>15</v>
      </c>
      <c r="D288" s="28" t="s">
        <v>102</v>
      </c>
      <c r="E288" s="28" t="s">
        <v>110</v>
      </c>
      <c r="F288" s="28" t="s">
        <v>95</v>
      </c>
      <c r="G288" s="29"/>
      <c r="H288" s="29"/>
      <c r="I288" s="28"/>
      <c r="J288" s="28" t="str">
        <f aca="false">INDEX(Turmas!$K:$K,MATCH(B288,Turmas!$M:$M,0))&amp;" | "&amp;INDEX(Turmas!$L:$L,MATCH(B288,Turmas!$M:$M,0))</f>
        <v>CICLO II  -  1º ANO | MANHÃ</v>
      </c>
    </row>
    <row r="289" customFormat="false" ht="15" hidden="false" customHeight="false" outlineLevel="0" collapsed="false">
      <c r="A289" s="28" t="str">
        <f aca="false">B289&amp;"|"&amp;C289</f>
        <v>C21102|16</v>
      </c>
      <c r="B289" s="28" t="s">
        <v>69</v>
      </c>
      <c r="C289" s="28" t="n">
        <v>16</v>
      </c>
      <c r="D289" s="28" t="s">
        <v>111</v>
      </c>
      <c r="E289" s="28" t="s">
        <v>112</v>
      </c>
      <c r="F289" s="28" t="s">
        <v>95</v>
      </c>
      <c r="G289" s="29"/>
      <c r="H289" s="29"/>
      <c r="I289" s="28"/>
      <c r="J289" s="28" t="str">
        <f aca="false">INDEX(Turmas!$K:$K,MATCH(B289,Turmas!$M:$M,0))&amp;" | "&amp;INDEX(Turmas!$L:$L,MATCH(B289,Turmas!$M:$M,0))</f>
        <v>CICLO II  -  1º ANO | MANHÃ</v>
      </c>
    </row>
    <row r="290" customFormat="false" ht="15" hidden="false" customHeight="false" outlineLevel="0" collapsed="false">
      <c r="A290" s="28" t="str">
        <f aca="false">B290&amp;"|"&amp;C290</f>
        <v>C21102|17</v>
      </c>
      <c r="B290" s="28" t="s">
        <v>69</v>
      </c>
      <c r="C290" s="28" t="n">
        <v>17</v>
      </c>
      <c r="D290" s="28" t="s">
        <v>111</v>
      </c>
      <c r="E290" s="28" t="s">
        <v>113</v>
      </c>
      <c r="F290" s="28" t="s">
        <v>95</v>
      </c>
      <c r="G290" s="29"/>
      <c r="H290" s="29"/>
      <c r="I290" s="28"/>
      <c r="J290" s="28" t="str">
        <f aca="false">INDEX(Turmas!$K:$K,MATCH(B290,Turmas!$M:$M,0))&amp;" | "&amp;INDEX(Turmas!$L:$L,MATCH(B290,Turmas!$M:$M,0))</f>
        <v>CICLO II  -  1º ANO | MANHÃ</v>
      </c>
    </row>
    <row r="291" customFormat="false" ht="15" hidden="false" customHeight="false" outlineLevel="0" collapsed="false">
      <c r="A291" s="28" t="str">
        <f aca="false">B291&amp;"|"&amp;C291</f>
        <v>C21102|18</v>
      </c>
      <c r="B291" s="28" t="s">
        <v>69</v>
      </c>
      <c r="C291" s="28" t="n">
        <v>18</v>
      </c>
      <c r="D291" s="28" t="s">
        <v>111</v>
      </c>
      <c r="E291" s="28" t="s">
        <v>114</v>
      </c>
      <c r="F291" s="28" t="s">
        <v>95</v>
      </c>
      <c r="G291" s="29"/>
      <c r="H291" s="29"/>
      <c r="I291" s="28"/>
      <c r="J291" s="28" t="str">
        <f aca="false">INDEX(Turmas!$K:$K,MATCH(B291,Turmas!$M:$M,0))&amp;" | "&amp;INDEX(Turmas!$L:$L,MATCH(B291,Turmas!$M:$M,0))</f>
        <v>CICLO II  -  1º ANO | MANHÃ</v>
      </c>
    </row>
    <row r="292" customFormat="false" ht="15" hidden="false" customHeight="false" outlineLevel="0" collapsed="false">
      <c r="A292" s="28" t="str">
        <f aca="false">B292&amp;"|"&amp;C292</f>
        <v>C21102|19</v>
      </c>
      <c r="B292" s="28" t="s">
        <v>69</v>
      </c>
      <c r="C292" s="28" t="n">
        <v>19</v>
      </c>
      <c r="D292" s="28" t="s">
        <v>111</v>
      </c>
      <c r="E292" s="28" t="s">
        <v>115</v>
      </c>
      <c r="F292" s="28" t="s">
        <v>95</v>
      </c>
      <c r="G292" s="29"/>
      <c r="H292" s="29"/>
      <c r="I292" s="28"/>
      <c r="J292" s="28" t="str">
        <f aca="false">INDEX(Turmas!$K:$K,MATCH(B292,Turmas!$M:$M,0))&amp;" | "&amp;INDEX(Turmas!$L:$L,MATCH(B292,Turmas!$M:$M,0))</f>
        <v>CICLO II  -  1º ANO | MANHÃ</v>
      </c>
    </row>
    <row r="293" customFormat="false" ht="15" hidden="false" customHeight="false" outlineLevel="0" collapsed="false">
      <c r="A293" s="28" t="str">
        <f aca="false">B293&amp;"|"&amp;C293</f>
        <v>C21102|20</v>
      </c>
      <c r="B293" s="28" t="s">
        <v>69</v>
      </c>
      <c r="C293" s="28" t="n">
        <v>20</v>
      </c>
      <c r="D293" s="28" t="s">
        <v>111</v>
      </c>
      <c r="E293" s="28" t="s">
        <v>116</v>
      </c>
      <c r="F293" s="28" t="s">
        <v>95</v>
      </c>
      <c r="G293" s="29"/>
      <c r="H293" s="29"/>
      <c r="I293" s="28"/>
      <c r="J293" s="28" t="str">
        <f aca="false">INDEX(Turmas!$K:$K,MATCH(B293,Turmas!$M:$M,0))&amp;" | "&amp;INDEX(Turmas!$L:$L,MATCH(B293,Turmas!$M:$M,0))</f>
        <v>CICLO II  -  1º ANO | MANHÃ</v>
      </c>
    </row>
    <row r="294" customFormat="false" ht="15" hidden="false" customHeight="false" outlineLevel="0" collapsed="false">
      <c r="A294" s="28" t="str">
        <f aca="false">B294&amp;"|"&amp;C294</f>
        <v>C21102|21</v>
      </c>
      <c r="B294" s="28" t="s">
        <v>69</v>
      </c>
      <c r="C294" s="28" t="n">
        <v>21</v>
      </c>
      <c r="D294" s="28" t="s">
        <v>111</v>
      </c>
      <c r="E294" s="28" t="s">
        <v>117</v>
      </c>
      <c r="F294" s="28" t="s">
        <v>95</v>
      </c>
      <c r="G294" s="29"/>
      <c r="H294" s="29"/>
      <c r="I294" s="28"/>
      <c r="J294" s="28" t="str">
        <f aca="false">INDEX(Turmas!$K:$K,MATCH(B294,Turmas!$M:$M,0))&amp;" | "&amp;INDEX(Turmas!$L:$L,MATCH(B294,Turmas!$M:$M,0))</f>
        <v>CICLO II  -  1º ANO | MANHÃ</v>
      </c>
    </row>
    <row r="295" customFormat="false" ht="15" hidden="false" customHeight="false" outlineLevel="0" collapsed="false">
      <c r="A295" s="28" t="str">
        <f aca="false">B295&amp;"|"&amp;C295</f>
        <v>C21102|22</v>
      </c>
      <c r="B295" s="28" t="s">
        <v>69</v>
      </c>
      <c r="C295" s="28" t="n">
        <v>22</v>
      </c>
      <c r="D295" s="28" t="s">
        <v>111</v>
      </c>
      <c r="E295" s="28" t="s">
        <v>118</v>
      </c>
      <c r="F295" s="28" t="s">
        <v>95</v>
      </c>
      <c r="G295" s="29"/>
      <c r="H295" s="29"/>
      <c r="I295" s="28"/>
      <c r="J295" s="28" t="str">
        <f aca="false">INDEX(Turmas!$K:$K,MATCH(B295,Turmas!$M:$M,0))&amp;" | "&amp;INDEX(Turmas!$L:$L,MATCH(B295,Turmas!$M:$M,0))</f>
        <v>CICLO II  -  1º ANO | MANHÃ</v>
      </c>
    </row>
    <row r="296" customFormat="false" ht="15" hidden="false" customHeight="false" outlineLevel="0" collapsed="false">
      <c r="A296" s="28" t="str">
        <f aca="false">B296&amp;"|"&amp;C296</f>
        <v>C21102|23</v>
      </c>
      <c r="B296" s="28" t="s">
        <v>69</v>
      </c>
      <c r="C296" s="28" t="n">
        <v>23</v>
      </c>
      <c r="D296" s="28" t="s">
        <v>111</v>
      </c>
      <c r="E296" s="28" t="s">
        <v>119</v>
      </c>
      <c r="F296" s="28" t="s">
        <v>95</v>
      </c>
      <c r="G296" s="29"/>
      <c r="H296" s="29"/>
      <c r="I296" s="28"/>
      <c r="J296" s="28" t="str">
        <f aca="false">INDEX(Turmas!$K:$K,MATCH(B296,Turmas!$M:$M,0))&amp;" | "&amp;INDEX(Turmas!$L:$L,MATCH(B296,Turmas!$M:$M,0))</f>
        <v>CICLO II  -  1º ANO | MANHÃ</v>
      </c>
    </row>
    <row r="297" customFormat="false" ht="15" hidden="false" customHeight="false" outlineLevel="0" collapsed="false">
      <c r="A297" s="28" t="str">
        <f aca="false">B297&amp;"|"&amp;C297</f>
        <v>C21102|24</v>
      </c>
      <c r="B297" s="28" t="s">
        <v>69</v>
      </c>
      <c r="C297" s="28" t="n">
        <v>24</v>
      </c>
      <c r="D297" s="28" t="s">
        <v>111</v>
      </c>
      <c r="E297" s="28" t="s">
        <v>120</v>
      </c>
      <c r="F297" s="28" t="s">
        <v>95</v>
      </c>
      <c r="G297" s="29"/>
      <c r="H297" s="29"/>
      <c r="I297" s="28"/>
      <c r="J297" s="28" t="str">
        <f aca="false">INDEX(Turmas!$K:$K,MATCH(B297,Turmas!$M:$M,0))&amp;" | "&amp;INDEX(Turmas!$L:$L,MATCH(B297,Turmas!$M:$M,0))</f>
        <v>CICLO II  -  1º ANO | MANHÃ</v>
      </c>
    </row>
    <row r="298" customFormat="false" ht="15" hidden="false" customHeight="false" outlineLevel="0" collapsed="false">
      <c r="A298" s="28" t="str">
        <f aca="false">B298&amp;"|"&amp;C298</f>
        <v>C21102|25</v>
      </c>
      <c r="B298" s="28" t="s">
        <v>69</v>
      </c>
      <c r="C298" s="28" t="n">
        <v>25</v>
      </c>
      <c r="D298" s="28" t="s">
        <v>121</v>
      </c>
      <c r="E298" s="28" t="s">
        <v>122</v>
      </c>
      <c r="F298" s="28" t="s">
        <v>95</v>
      </c>
      <c r="G298" s="29"/>
      <c r="H298" s="29"/>
      <c r="I298" s="28"/>
      <c r="J298" s="28" t="str">
        <f aca="false">INDEX(Turmas!$K:$K,MATCH(B298,Turmas!$M:$M,0))&amp;" | "&amp;INDEX(Turmas!$L:$L,MATCH(B298,Turmas!$M:$M,0))</f>
        <v>CICLO II  -  1º ANO | MANHÃ</v>
      </c>
    </row>
    <row r="299" customFormat="false" ht="15" hidden="false" customHeight="false" outlineLevel="0" collapsed="false">
      <c r="A299" s="28" t="str">
        <f aca="false">B299&amp;"|"&amp;C299</f>
        <v>C21102|26</v>
      </c>
      <c r="B299" s="28" t="s">
        <v>69</v>
      </c>
      <c r="C299" s="28" t="n">
        <v>26</v>
      </c>
      <c r="D299" s="28" t="s">
        <v>121</v>
      </c>
      <c r="E299" s="28" t="s">
        <v>123</v>
      </c>
      <c r="F299" s="28" t="s">
        <v>95</v>
      </c>
      <c r="G299" s="29"/>
      <c r="H299" s="29"/>
      <c r="I299" s="28"/>
      <c r="J299" s="28" t="str">
        <f aca="false">INDEX(Turmas!$K:$K,MATCH(B299,Turmas!$M:$M,0))&amp;" | "&amp;INDEX(Turmas!$L:$L,MATCH(B299,Turmas!$M:$M,0))</f>
        <v>CICLO II  -  1º ANO | MANHÃ</v>
      </c>
    </row>
    <row r="300" customFormat="false" ht="15" hidden="false" customHeight="false" outlineLevel="0" collapsed="false">
      <c r="A300" s="28" t="str">
        <f aca="false">B300&amp;"|"&amp;C300</f>
        <v>C21102|27</v>
      </c>
      <c r="B300" s="28" t="s">
        <v>69</v>
      </c>
      <c r="C300" s="28" t="n">
        <v>27</v>
      </c>
      <c r="D300" s="28" t="s">
        <v>121</v>
      </c>
      <c r="E300" s="28" t="s">
        <v>124</v>
      </c>
      <c r="F300" s="28" t="s">
        <v>95</v>
      </c>
      <c r="G300" s="29"/>
      <c r="H300" s="29"/>
      <c r="I300" s="28"/>
      <c r="J300" s="28" t="str">
        <f aca="false">INDEX(Turmas!$K:$K,MATCH(B300,Turmas!$M:$M,0))&amp;" | "&amp;INDEX(Turmas!$L:$L,MATCH(B300,Turmas!$M:$M,0))</f>
        <v>CICLO II  -  1º ANO | MANHÃ</v>
      </c>
    </row>
    <row r="301" customFormat="false" ht="15" hidden="false" customHeight="false" outlineLevel="0" collapsed="false">
      <c r="A301" s="28" t="str">
        <f aca="false">B301&amp;"|"&amp;C301</f>
        <v>C21102|28</v>
      </c>
      <c r="B301" s="28" t="s">
        <v>69</v>
      </c>
      <c r="C301" s="28" t="n">
        <v>28</v>
      </c>
      <c r="D301" s="28" t="s">
        <v>121</v>
      </c>
      <c r="E301" s="28" t="s">
        <v>125</v>
      </c>
      <c r="F301" s="28" t="s">
        <v>95</v>
      </c>
      <c r="G301" s="29"/>
      <c r="H301" s="29"/>
      <c r="I301" s="28"/>
      <c r="J301" s="28" t="str">
        <f aca="false">INDEX(Turmas!$K:$K,MATCH(B301,Turmas!$M:$M,0))&amp;" | "&amp;INDEX(Turmas!$L:$L,MATCH(B301,Turmas!$M:$M,0))</f>
        <v>CICLO II  -  1º ANO | MANHÃ</v>
      </c>
    </row>
    <row r="302" customFormat="false" ht="15" hidden="false" customHeight="false" outlineLevel="0" collapsed="false">
      <c r="A302" s="28" t="str">
        <f aca="false">B302&amp;"|"&amp;C302</f>
        <v>C21102|29</v>
      </c>
      <c r="B302" s="28" t="s">
        <v>69</v>
      </c>
      <c r="C302" s="28" t="n">
        <v>29</v>
      </c>
      <c r="D302" s="28" t="s">
        <v>121</v>
      </c>
      <c r="E302" s="28" t="s">
        <v>126</v>
      </c>
      <c r="F302" s="28" t="s">
        <v>95</v>
      </c>
      <c r="G302" s="29"/>
      <c r="H302" s="29"/>
      <c r="I302" s="28"/>
      <c r="J302" s="28" t="str">
        <f aca="false">INDEX(Turmas!$K:$K,MATCH(B302,Turmas!$M:$M,0))&amp;" | "&amp;INDEX(Turmas!$L:$L,MATCH(B302,Turmas!$M:$M,0))</f>
        <v>CICLO II  -  1º ANO | MANHÃ</v>
      </c>
    </row>
    <row r="303" customFormat="false" ht="15" hidden="false" customHeight="false" outlineLevel="0" collapsed="false">
      <c r="A303" s="28" t="str">
        <f aca="false">B303&amp;"|"&amp;C303</f>
        <v>C21102|30</v>
      </c>
      <c r="B303" s="28" t="s">
        <v>69</v>
      </c>
      <c r="C303" s="28" t="n">
        <v>30</v>
      </c>
      <c r="D303" s="28" t="s">
        <v>127</v>
      </c>
      <c r="E303" s="28" t="s">
        <v>128</v>
      </c>
      <c r="F303" s="28" t="s">
        <v>95</v>
      </c>
      <c r="G303" s="29"/>
      <c r="H303" s="29"/>
      <c r="I303" s="28"/>
      <c r="J303" s="28" t="str">
        <f aca="false">INDEX(Turmas!$K:$K,MATCH(B303,Turmas!$M:$M,0))&amp;" | "&amp;INDEX(Turmas!$L:$L,MATCH(B303,Turmas!$M:$M,0))</f>
        <v>CICLO II  -  1º ANO | MANHÃ</v>
      </c>
    </row>
    <row r="304" customFormat="false" ht="15" hidden="false" customHeight="false" outlineLevel="0" collapsed="false">
      <c r="A304" s="28" t="str">
        <f aca="false">B304&amp;"|"&amp;C304</f>
        <v>C21102|31</v>
      </c>
      <c r="B304" s="28" t="s">
        <v>69</v>
      </c>
      <c r="C304" s="28" t="n">
        <v>31</v>
      </c>
      <c r="D304" s="28" t="s">
        <v>127</v>
      </c>
      <c r="E304" s="28" t="s">
        <v>108</v>
      </c>
      <c r="F304" s="28" t="s">
        <v>95</v>
      </c>
      <c r="G304" s="29"/>
      <c r="H304" s="29"/>
      <c r="I304" s="28"/>
      <c r="J304" s="28" t="str">
        <f aca="false">INDEX(Turmas!$K:$K,MATCH(B304,Turmas!$M:$M,0))&amp;" | "&amp;INDEX(Turmas!$L:$L,MATCH(B304,Turmas!$M:$M,0))</f>
        <v>CICLO II  -  1º ANO | MANHÃ</v>
      </c>
    </row>
    <row r="305" customFormat="false" ht="15" hidden="false" customHeight="false" outlineLevel="0" collapsed="false">
      <c r="A305" s="28" t="str">
        <f aca="false">B305&amp;"|"&amp;C305</f>
        <v>C21102|32</v>
      </c>
      <c r="B305" s="28" t="s">
        <v>69</v>
      </c>
      <c r="C305" s="28" t="n">
        <v>32</v>
      </c>
      <c r="D305" s="28" t="s">
        <v>127</v>
      </c>
      <c r="E305" s="28" t="s">
        <v>129</v>
      </c>
      <c r="F305" s="28" t="s">
        <v>95</v>
      </c>
      <c r="G305" s="29"/>
      <c r="H305" s="29"/>
      <c r="I305" s="28"/>
      <c r="J305" s="28" t="str">
        <f aca="false">INDEX(Turmas!$K:$K,MATCH(B305,Turmas!$M:$M,0))&amp;" | "&amp;INDEX(Turmas!$L:$L,MATCH(B305,Turmas!$M:$M,0))</f>
        <v>CICLO II  -  1º ANO | MANHÃ</v>
      </c>
    </row>
    <row r="306" customFormat="false" ht="15" hidden="false" customHeight="false" outlineLevel="0" collapsed="false">
      <c r="A306" s="28" t="str">
        <f aca="false">B306&amp;"|"&amp;C306</f>
        <v>C21102|33</v>
      </c>
      <c r="B306" s="28" t="s">
        <v>69</v>
      </c>
      <c r="C306" s="28" t="n">
        <v>33</v>
      </c>
      <c r="D306" s="28" t="s">
        <v>127</v>
      </c>
      <c r="E306" s="28" t="s">
        <v>130</v>
      </c>
      <c r="F306" s="28" t="s">
        <v>95</v>
      </c>
      <c r="G306" s="29"/>
      <c r="H306" s="29"/>
      <c r="I306" s="28"/>
      <c r="J306" s="28" t="str">
        <f aca="false">INDEX(Turmas!$K:$K,MATCH(B306,Turmas!$M:$M,0))&amp;" | "&amp;INDEX(Turmas!$L:$L,MATCH(B306,Turmas!$M:$M,0))</f>
        <v>CICLO II  -  1º ANO | MANHÃ</v>
      </c>
    </row>
    <row r="307" customFormat="false" ht="15" hidden="false" customHeight="false" outlineLevel="0" collapsed="false">
      <c r="A307" s="28" t="str">
        <f aca="false">B307&amp;"|"&amp;C307</f>
        <v>C21102|34</v>
      </c>
      <c r="B307" s="28" t="s">
        <v>69</v>
      </c>
      <c r="C307" s="28" t="n">
        <v>34</v>
      </c>
      <c r="D307" s="28" t="s">
        <v>127</v>
      </c>
      <c r="E307" s="28" t="s">
        <v>131</v>
      </c>
      <c r="F307" s="28" t="s">
        <v>95</v>
      </c>
      <c r="G307" s="29"/>
      <c r="H307" s="29"/>
      <c r="I307" s="28"/>
      <c r="J307" s="28" t="str">
        <f aca="false">INDEX(Turmas!$K:$K,MATCH(B307,Turmas!$M:$M,0))&amp;" | "&amp;INDEX(Turmas!$L:$L,MATCH(B307,Turmas!$M:$M,0))</f>
        <v>CICLO II  -  1º ANO | MANHÃ</v>
      </c>
    </row>
    <row r="308" customFormat="false" ht="15" hidden="false" customHeight="false" outlineLevel="0" collapsed="false">
      <c r="A308" s="28" t="str">
        <f aca="false">B308&amp;"|"&amp;C308</f>
        <v>C21101|1</v>
      </c>
      <c r="B308" s="28" t="s">
        <v>70</v>
      </c>
      <c r="C308" s="28" t="n">
        <v>1</v>
      </c>
      <c r="D308" s="28" t="s">
        <v>93</v>
      </c>
      <c r="E308" s="28" t="s">
        <v>94</v>
      </c>
      <c r="F308" s="28" t="s">
        <v>95</v>
      </c>
      <c r="G308" s="29"/>
      <c r="H308" s="29"/>
      <c r="I308" s="28"/>
      <c r="J308" s="28" t="str">
        <f aca="false">INDEX(Turmas!$K:$K,MATCH(B308,Turmas!$M:$M,0))&amp;" | "&amp;INDEX(Turmas!$L:$L,MATCH(B308,Turmas!$M:$M,0))</f>
        <v>CICLO II  -  1º ANO | MANHÃ</v>
      </c>
    </row>
    <row r="309" customFormat="false" ht="15" hidden="false" customHeight="false" outlineLevel="0" collapsed="false">
      <c r="A309" s="28" t="str">
        <f aca="false">B309&amp;"|"&amp;C309</f>
        <v>C21101|2</v>
      </c>
      <c r="B309" s="28" t="s">
        <v>70</v>
      </c>
      <c r="C309" s="28" t="n">
        <v>2</v>
      </c>
      <c r="D309" s="28" t="s">
        <v>93</v>
      </c>
      <c r="E309" s="28" t="s">
        <v>96</v>
      </c>
      <c r="F309" s="28" t="s">
        <v>95</v>
      </c>
      <c r="G309" s="29"/>
      <c r="H309" s="29"/>
      <c r="I309" s="28"/>
      <c r="J309" s="28" t="str">
        <f aca="false">INDEX(Turmas!$K:$K,MATCH(B309,Turmas!$M:$M,0))&amp;" | "&amp;INDEX(Turmas!$L:$L,MATCH(B309,Turmas!$M:$M,0))</f>
        <v>CICLO II  -  1º ANO | MANHÃ</v>
      </c>
    </row>
    <row r="310" customFormat="false" ht="15" hidden="false" customHeight="false" outlineLevel="0" collapsed="false">
      <c r="A310" s="28" t="str">
        <f aca="false">B310&amp;"|"&amp;C310</f>
        <v>C21101|3</v>
      </c>
      <c r="B310" s="28" t="s">
        <v>70</v>
      </c>
      <c r="C310" s="28" t="n">
        <v>3</v>
      </c>
      <c r="D310" s="28" t="s">
        <v>93</v>
      </c>
      <c r="E310" s="28" t="s">
        <v>97</v>
      </c>
      <c r="F310" s="28" t="s">
        <v>95</v>
      </c>
      <c r="G310" s="29"/>
      <c r="H310" s="29"/>
      <c r="I310" s="28"/>
      <c r="J310" s="28" t="str">
        <f aca="false">INDEX(Turmas!$K:$K,MATCH(B310,Turmas!$M:$M,0))&amp;" | "&amp;INDEX(Turmas!$L:$L,MATCH(B310,Turmas!$M:$M,0))</f>
        <v>CICLO II  -  1º ANO | MANHÃ</v>
      </c>
    </row>
    <row r="311" customFormat="false" ht="15" hidden="false" customHeight="false" outlineLevel="0" collapsed="false">
      <c r="A311" s="28" t="str">
        <f aca="false">B311&amp;"|"&amp;C311</f>
        <v>C21101|4</v>
      </c>
      <c r="B311" s="28" t="s">
        <v>70</v>
      </c>
      <c r="C311" s="28" t="n">
        <v>4</v>
      </c>
      <c r="D311" s="28" t="s">
        <v>93</v>
      </c>
      <c r="E311" s="28" t="s">
        <v>98</v>
      </c>
      <c r="F311" s="28" t="s">
        <v>95</v>
      </c>
      <c r="G311" s="29"/>
      <c r="H311" s="29"/>
      <c r="I311" s="28"/>
      <c r="J311" s="28" t="str">
        <f aca="false">INDEX(Turmas!$K:$K,MATCH(B311,Turmas!$M:$M,0))&amp;" | "&amp;INDEX(Turmas!$L:$L,MATCH(B311,Turmas!$M:$M,0))</f>
        <v>CICLO II  -  1º ANO | MANHÃ</v>
      </c>
    </row>
    <row r="312" customFormat="false" ht="15" hidden="false" customHeight="false" outlineLevel="0" collapsed="false">
      <c r="A312" s="28" t="str">
        <f aca="false">B312&amp;"|"&amp;C312</f>
        <v>C21101|5</v>
      </c>
      <c r="B312" s="28" t="s">
        <v>70</v>
      </c>
      <c r="C312" s="28" t="n">
        <v>5</v>
      </c>
      <c r="D312" s="28" t="s">
        <v>93</v>
      </c>
      <c r="E312" s="28" t="s">
        <v>99</v>
      </c>
      <c r="F312" s="28" t="s">
        <v>95</v>
      </c>
      <c r="G312" s="29"/>
      <c r="H312" s="29"/>
      <c r="I312" s="28"/>
      <c r="J312" s="28" t="str">
        <f aca="false">INDEX(Turmas!$K:$K,MATCH(B312,Turmas!$M:$M,0))&amp;" | "&amp;INDEX(Turmas!$L:$L,MATCH(B312,Turmas!$M:$M,0))</f>
        <v>CICLO II  -  1º ANO | MANHÃ</v>
      </c>
    </row>
    <row r="313" customFormat="false" ht="15" hidden="false" customHeight="false" outlineLevel="0" collapsed="false">
      <c r="A313" s="28" t="str">
        <f aca="false">B313&amp;"|"&amp;C313</f>
        <v>C21101|6</v>
      </c>
      <c r="B313" s="28" t="s">
        <v>70</v>
      </c>
      <c r="C313" s="28" t="n">
        <v>6</v>
      </c>
      <c r="D313" s="28" t="s">
        <v>93</v>
      </c>
      <c r="E313" s="28" t="s">
        <v>100</v>
      </c>
      <c r="F313" s="28" t="s">
        <v>95</v>
      </c>
      <c r="G313" s="29"/>
      <c r="H313" s="29"/>
      <c r="I313" s="28"/>
      <c r="J313" s="28" t="str">
        <f aca="false">INDEX(Turmas!$K:$K,MATCH(B313,Turmas!$M:$M,0))&amp;" | "&amp;INDEX(Turmas!$L:$L,MATCH(B313,Turmas!$M:$M,0))</f>
        <v>CICLO II  -  1º ANO | MANHÃ</v>
      </c>
    </row>
    <row r="314" customFormat="false" ht="15" hidden="false" customHeight="false" outlineLevel="0" collapsed="false">
      <c r="A314" s="28" t="str">
        <f aca="false">B314&amp;"|"&amp;C314</f>
        <v>C21101|7</v>
      </c>
      <c r="B314" s="28" t="s">
        <v>70</v>
      </c>
      <c r="C314" s="28" t="n">
        <v>7</v>
      </c>
      <c r="D314" s="28" t="s">
        <v>93</v>
      </c>
      <c r="E314" s="28" t="s">
        <v>101</v>
      </c>
      <c r="F314" s="28" t="s">
        <v>95</v>
      </c>
      <c r="G314" s="29"/>
      <c r="H314" s="29"/>
      <c r="I314" s="28"/>
      <c r="J314" s="28" t="str">
        <f aca="false">INDEX(Turmas!$K:$K,MATCH(B314,Turmas!$M:$M,0))&amp;" | "&amp;INDEX(Turmas!$L:$L,MATCH(B314,Turmas!$M:$M,0))</f>
        <v>CICLO II  -  1º ANO | MANHÃ</v>
      </c>
    </row>
    <row r="315" customFormat="false" ht="15" hidden="false" customHeight="false" outlineLevel="0" collapsed="false">
      <c r="A315" s="28" t="str">
        <f aca="false">B315&amp;"|"&amp;C315</f>
        <v>C21101|8</v>
      </c>
      <c r="B315" s="28" t="s">
        <v>70</v>
      </c>
      <c r="C315" s="28" t="n">
        <v>8</v>
      </c>
      <c r="D315" s="28" t="s">
        <v>102</v>
      </c>
      <c r="E315" s="28" t="s">
        <v>103</v>
      </c>
      <c r="F315" s="28" t="s">
        <v>95</v>
      </c>
      <c r="G315" s="29"/>
      <c r="H315" s="29"/>
      <c r="I315" s="28"/>
      <c r="J315" s="28" t="str">
        <f aca="false">INDEX(Turmas!$K:$K,MATCH(B315,Turmas!$M:$M,0))&amp;" | "&amp;INDEX(Turmas!$L:$L,MATCH(B315,Turmas!$M:$M,0))</f>
        <v>CICLO II  -  1º ANO | MANHÃ</v>
      </c>
    </row>
    <row r="316" customFormat="false" ht="15" hidden="false" customHeight="false" outlineLevel="0" collapsed="false">
      <c r="A316" s="28" t="str">
        <f aca="false">B316&amp;"|"&amp;C316</f>
        <v>C21101|9</v>
      </c>
      <c r="B316" s="28" t="s">
        <v>70</v>
      </c>
      <c r="C316" s="28" t="n">
        <v>9</v>
      </c>
      <c r="D316" s="28" t="s">
        <v>102</v>
      </c>
      <c r="E316" s="28" t="s">
        <v>104</v>
      </c>
      <c r="F316" s="28" t="s">
        <v>95</v>
      </c>
      <c r="G316" s="29"/>
      <c r="H316" s="29"/>
      <c r="I316" s="28"/>
      <c r="J316" s="28" t="str">
        <f aca="false">INDEX(Turmas!$K:$K,MATCH(B316,Turmas!$M:$M,0))&amp;" | "&amp;INDEX(Turmas!$L:$L,MATCH(B316,Turmas!$M:$M,0))</f>
        <v>CICLO II  -  1º ANO | MANHÃ</v>
      </c>
    </row>
    <row r="317" customFormat="false" ht="15" hidden="false" customHeight="false" outlineLevel="0" collapsed="false">
      <c r="A317" s="28" t="str">
        <f aca="false">B317&amp;"|"&amp;C317</f>
        <v>C21101|10</v>
      </c>
      <c r="B317" s="28" t="s">
        <v>70</v>
      </c>
      <c r="C317" s="28" t="n">
        <v>10</v>
      </c>
      <c r="D317" s="28" t="s">
        <v>102</v>
      </c>
      <c r="E317" s="28" t="s">
        <v>105</v>
      </c>
      <c r="F317" s="28" t="s">
        <v>95</v>
      </c>
      <c r="G317" s="29"/>
      <c r="H317" s="29"/>
      <c r="I317" s="28"/>
      <c r="J317" s="28" t="str">
        <f aca="false">INDEX(Turmas!$K:$K,MATCH(B317,Turmas!$M:$M,0))&amp;" | "&amp;INDEX(Turmas!$L:$L,MATCH(B317,Turmas!$M:$M,0))</f>
        <v>CICLO II  -  1º ANO | MANHÃ</v>
      </c>
    </row>
    <row r="318" customFormat="false" ht="15" hidden="false" customHeight="false" outlineLevel="0" collapsed="false">
      <c r="A318" s="28" t="str">
        <f aca="false">B318&amp;"|"&amp;C318</f>
        <v>C21101|11</v>
      </c>
      <c r="B318" s="28" t="s">
        <v>70</v>
      </c>
      <c r="C318" s="28" t="n">
        <v>11</v>
      </c>
      <c r="D318" s="28" t="s">
        <v>102</v>
      </c>
      <c r="E318" s="28" t="s">
        <v>106</v>
      </c>
      <c r="F318" s="28" t="s">
        <v>95</v>
      </c>
      <c r="G318" s="29"/>
      <c r="H318" s="29"/>
      <c r="I318" s="28"/>
      <c r="J318" s="28" t="str">
        <f aca="false">INDEX(Turmas!$K:$K,MATCH(B318,Turmas!$M:$M,0))&amp;" | "&amp;INDEX(Turmas!$L:$L,MATCH(B318,Turmas!$M:$M,0))</f>
        <v>CICLO II  -  1º ANO | MANHÃ</v>
      </c>
    </row>
    <row r="319" customFormat="false" ht="15" hidden="false" customHeight="false" outlineLevel="0" collapsed="false">
      <c r="A319" s="28" t="str">
        <f aca="false">B319&amp;"|"&amp;C319</f>
        <v>C21101|12</v>
      </c>
      <c r="B319" s="28" t="s">
        <v>70</v>
      </c>
      <c r="C319" s="28" t="n">
        <v>12</v>
      </c>
      <c r="D319" s="28" t="s">
        <v>102</v>
      </c>
      <c r="E319" s="28" t="s">
        <v>107</v>
      </c>
      <c r="F319" s="28" t="s">
        <v>95</v>
      </c>
      <c r="G319" s="29"/>
      <c r="H319" s="29"/>
      <c r="I319" s="28"/>
      <c r="J319" s="28" t="str">
        <f aca="false">INDEX(Turmas!$K:$K,MATCH(B319,Turmas!$M:$M,0))&amp;" | "&amp;INDEX(Turmas!$L:$L,MATCH(B319,Turmas!$M:$M,0))</f>
        <v>CICLO II  -  1º ANO | MANHÃ</v>
      </c>
    </row>
    <row r="320" customFormat="false" ht="15" hidden="false" customHeight="false" outlineLevel="0" collapsed="false">
      <c r="A320" s="28" t="str">
        <f aca="false">B320&amp;"|"&amp;C320</f>
        <v>C21101|13</v>
      </c>
      <c r="B320" s="28" t="s">
        <v>70</v>
      </c>
      <c r="C320" s="28" t="n">
        <v>13</v>
      </c>
      <c r="D320" s="28" t="s">
        <v>102</v>
      </c>
      <c r="E320" s="28" t="s">
        <v>108</v>
      </c>
      <c r="F320" s="28" t="s">
        <v>95</v>
      </c>
      <c r="G320" s="29"/>
      <c r="H320" s="29"/>
      <c r="I320" s="28"/>
      <c r="J320" s="28" t="str">
        <f aca="false">INDEX(Turmas!$K:$K,MATCH(B320,Turmas!$M:$M,0))&amp;" | "&amp;INDEX(Turmas!$L:$L,MATCH(B320,Turmas!$M:$M,0))</f>
        <v>CICLO II  -  1º ANO | MANHÃ</v>
      </c>
    </row>
    <row r="321" customFormat="false" ht="15" hidden="false" customHeight="false" outlineLevel="0" collapsed="false">
      <c r="A321" s="28" t="str">
        <f aca="false">B321&amp;"|"&amp;C321</f>
        <v>C21101|14</v>
      </c>
      <c r="B321" s="28" t="s">
        <v>70</v>
      </c>
      <c r="C321" s="28" t="n">
        <v>14</v>
      </c>
      <c r="D321" s="28" t="s">
        <v>102</v>
      </c>
      <c r="E321" s="28" t="s">
        <v>109</v>
      </c>
      <c r="F321" s="28" t="s">
        <v>95</v>
      </c>
      <c r="G321" s="29"/>
      <c r="H321" s="29"/>
      <c r="I321" s="28"/>
      <c r="J321" s="28" t="str">
        <f aca="false">INDEX(Turmas!$K:$K,MATCH(B321,Turmas!$M:$M,0))&amp;" | "&amp;INDEX(Turmas!$L:$L,MATCH(B321,Turmas!$M:$M,0))</f>
        <v>CICLO II  -  1º ANO | MANHÃ</v>
      </c>
    </row>
    <row r="322" customFormat="false" ht="15" hidden="false" customHeight="false" outlineLevel="0" collapsed="false">
      <c r="A322" s="28" t="str">
        <f aca="false">B322&amp;"|"&amp;C322</f>
        <v>C21101|15</v>
      </c>
      <c r="B322" s="28" t="s">
        <v>70</v>
      </c>
      <c r="C322" s="28" t="n">
        <v>15</v>
      </c>
      <c r="D322" s="28" t="s">
        <v>102</v>
      </c>
      <c r="E322" s="28" t="s">
        <v>110</v>
      </c>
      <c r="F322" s="28" t="s">
        <v>95</v>
      </c>
      <c r="G322" s="29"/>
      <c r="H322" s="29"/>
      <c r="I322" s="28"/>
      <c r="J322" s="28" t="str">
        <f aca="false">INDEX(Turmas!$K:$K,MATCH(B322,Turmas!$M:$M,0))&amp;" | "&amp;INDEX(Turmas!$L:$L,MATCH(B322,Turmas!$M:$M,0))</f>
        <v>CICLO II  -  1º ANO | MANHÃ</v>
      </c>
    </row>
    <row r="323" customFormat="false" ht="15" hidden="false" customHeight="false" outlineLevel="0" collapsed="false">
      <c r="A323" s="28" t="str">
        <f aca="false">B323&amp;"|"&amp;C323</f>
        <v>C21101|16</v>
      </c>
      <c r="B323" s="28" t="s">
        <v>70</v>
      </c>
      <c r="C323" s="28" t="n">
        <v>16</v>
      </c>
      <c r="D323" s="28" t="s">
        <v>111</v>
      </c>
      <c r="E323" s="28" t="s">
        <v>112</v>
      </c>
      <c r="F323" s="28" t="s">
        <v>95</v>
      </c>
      <c r="G323" s="29"/>
      <c r="H323" s="29"/>
      <c r="I323" s="28"/>
      <c r="J323" s="28" t="str">
        <f aca="false">INDEX(Turmas!$K:$K,MATCH(B323,Turmas!$M:$M,0))&amp;" | "&amp;INDEX(Turmas!$L:$L,MATCH(B323,Turmas!$M:$M,0))</f>
        <v>CICLO II  -  1º ANO | MANHÃ</v>
      </c>
    </row>
    <row r="324" customFormat="false" ht="15" hidden="false" customHeight="false" outlineLevel="0" collapsed="false">
      <c r="A324" s="28" t="str">
        <f aca="false">B324&amp;"|"&amp;C324</f>
        <v>C21101|17</v>
      </c>
      <c r="B324" s="28" t="s">
        <v>70</v>
      </c>
      <c r="C324" s="28" t="n">
        <v>17</v>
      </c>
      <c r="D324" s="28" t="s">
        <v>111</v>
      </c>
      <c r="E324" s="28" t="s">
        <v>113</v>
      </c>
      <c r="F324" s="28" t="s">
        <v>95</v>
      </c>
      <c r="G324" s="29"/>
      <c r="H324" s="29"/>
      <c r="I324" s="28"/>
      <c r="J324" s="28" t="str">
        <f aca="false">INDEX(Turmas!$K:$K,MATCH(B324,Turmas!$M:$M,0))&amp;" | "&amp;INDEX(Turmas!$L:$L,MATCH(B324,Turmas!$M:$M,0))</f>
        <v>CICLO II  -  1º ANO | MANHÃ</v>
      </c>
    </row>
    <row r="325" customFormat="false" ht="15" hidden="false" customHeight="false" outlineLevel="0" collapsed="false">
      <c r="A325" s="28" t="str">
        <f aca="false">B325&amp;"|"&amp;C325</f>
        <v>C21101|18</v>
      </c>
      <c r="B325" s="28" t="s">
        <v>70</v>
      </c>
      <c r="C325" s="28" t="n">
        <v>18</v>
      </c>
      <c r="D325" s="28" t="s">
        <v>111</v>
      </c>
      <c r="E325" s="28" t="s">
        <v>114</v>
      </c>
      <c r="F325" s="28" t="s">
        <v>95</v>
      </c>
      <c r="G325" s="29"/>
      <c r="H325" s="29"/>
      <c r="I325" s="28"/>
      <c r="J325" s="28" t="str">
        <f aca="false">INDEX(Turmas!$K:$K,MATCH(B325,Turmas!$M:$M,0))&amp;" | "&amp;INDEX(Turmas!$L:$L,MATCH(B325,Turmas!$M:$M,0))</f>
        <v>CICLO II  -  1º ANO | MANHÃ</v>
      </c>
    </row>
    <row r="326" customFormat="false" ht="15" hidden="false" customHeight="false" outlineLevel="0" collapsed="false">
      <c r="A326" s="28" t="str">
        <f aca="false">B326&amp;"|"&amp;C326</f>
        <v>C21101|19</v>
      </c>
      <c r="B326" s="28" t="s">
        <v>70</v>
      </c>
      <c r="C326" s="28" t="n">
        <v>19</v>
      </c>
      <c r="D326" s="28" t="s">
        <v>111</v>
      </c>
      <c r="E326" s="28" t="s">
        <v>115</v>
      </c>
      <c r="F326" s="28" t="s">
        <v>95</v>
      </c>
      <c r="G326" s="29"/>
      <c r="H326" s="29"/>
      <c r="I326" s="28"/>
      <c r="J326" s="28" t="str">
        <f aca="false">INDEX(Turmas!$K:$K,MATCH(B326,Turmas!$M:$M,0))&amp;" | "&amp;INDEX(Turmas!$L:$L,MATCH(B326,Turmas!$M:$M,0))</f>
        <v>CICLO II  -  1º ANO | MANHÃ</v>
      </c>
    </row>
    <row r="327" customFormat="false" ht="15" hidden="false" customHeight="false" outlineLevel="0" collapsed="false">
      <c r="A327" s="28" t="str">
        <f aca="false">B327&amp;"|"&amp;C327</f>
        <v>C21101|20</v>
      </c>
      <c r="B327" s="28" t="s">
        <v>70</v>
      </c>
      <c r="C327" s="28" t="n">
        <v>20</v>
      </c>
      <c r="D327" s="28" t="s">
        <v>111</v>
      </c>
      <c r="E327" s="28" t="s">
        <v>116</v>
      </c>
      <c r="F327" s="28" t="s">
        <v>95</v>
      </c>
      <c r="G327" s="29"/>
      <c r="H327" s="29"/>
      <c r="I327" s="28"/>
      <c r="J327" s="28" t="str">
        <f aca="false">INDEX(Turmas!$K:$K,MATCH(B327,Turmas!$M:$M,0))&amp;" | "&amp;INDEX(Turmas!$L:$L,MATCH(B327,Turmas!$M:$M,0))</f>
        <v>CICLO II  -  1º ANO | MANHÃ</v>
      </c>
    </row>
    <row r="328" customFormat="false" ht="15" hidden="false" customHeight="false" outlineLevel="0" collapsed="false">
      <c r="A328" s="28" t="str">
        <f aca="false">B328&amp;"|"&amp;C328</f>
        <v>C21101|21</v>
      </c>
      <c r="B328" s="28" t="s">
        <v>70</v>
      </c>
      <c r="C328" s="28" t="n">
        <v>21</v>
      </c>
      <c r="D328" s="28" t="s">
        <v>111</v>
      </c>
      <c r="E328" s="28" t="s">
        <v>117</v>
      </c>
      <c r="F328" s="28" t="s">
        <v>95</v>
      </c>
      <c r="G328" s="29"/>
      <c r="H328" s="29"/>
      <c r="I328" s="28"/>
      <c r="J328" s="28" t="str">
        <f aca="false">INDEX(Turmas!$K:$K,MATCH(B328,Turmas!$M:$M,0))&amp;" | "&amp;INDEX(Turmas!$L:$L,MATCH(B328,Turmas!$M:$M,0))</f>
        <v>CICLO II  -  1º ANO | MANHÃ</v>
      </c>
    </row>
    <row r="329" customFormat="false" ht="15" hidden="false" customHeight="false" outlineLevel="0" collapsed="false">
      <c r="A329" s="28" t="str">
        <f aca="false">B329&amp;"|"&amp;C329</f>
        <v>C21101|22</v>
      </c>
      <c r="B329" s="28" t="s">
        <v>70</v>
      </c>
      <c r="C329" s="28" t="n">
        <v>22</v>
      </c>
      <c r="D329" s="28" t="s">
        <v>111</v>
      </c>
      <c r="E329" s="28" t="s">
        <v>118</v>
      </c>
      <c r="F329" s="28" t="s">
        <v>95</v>
      </c>
      <c r="G329" s="29"/>
      <c r="H329" s="29"/>
      <c r="I329" s="28"/>
      <c r="J329" s="28" t="str">
        <f aca="false">INDEX(Turmas!$K:$K,MATCH(B329,Turmas!$M:$M,0))&amp;" | "&amp;INDEX(Turmas!$L:$L,MATCH(B329,Turmas!$M:$M,0))</f>
        <v>CICLO II  -  1º ANO | MANHÃ</v>
      </c>
    </row>
    <row r="330" customFormat="false" ht="15" hidden="false" customHeight="false" outlineLevel="0" collapsed="false">
      <c r="A330" s="28" t="str">
        <f aca="false">B330&amp;"|"&amp;C330</f>
        <v>C21101|23</v>
      </c>
      <c r="B330" s="28" t="s">
        <v>70</v>
      </c>
      <c r="C330" s="28" t="n">
        <v>23</v>
      </c>
      <c r="D330" s="28" t="s">
        <v>111</v>
      </c>
      <c r="E330" s="28" t="s">
        <v>119</v>
      </c>
      <c r="F330" s="28" t="s">
        <v>95</v>
      </c>
      <c r="G330" s="29"/>
      <c r="H330" s="29"/>
      <c r="I330" s="28"/>
      <c r="J330" s="28" t="str">
        <f aca="false">INDEX(Turmas!$K:$K,MATCH(B330,Turmas!$M:$M,0))&amp;" | "&amp;INDEX(Turmas!$L:$L,MATCH(B330,Turmas!$M:$M,0))</f>
        <v>CICLO II  -  1º ANO | MANHÃ</v>
      </c>
    </row>
    <row r="331" customFormat="false" ht="15" hidden="false" customHeight="false" outlineLevel="0" collapsed="false">
      <c r="A331" s="28" t="str">
        <f aca="false">B331&amp;"|"&amp;C331</f>
        <v>C21101|24</v>
      </c>
      <c r="B331" s="28" t="s">
        <v>70</v>
      </c>
      <c r="C331" s="28" t="n">
        <v>24</v>
      </c>
      <c r="D331" s="28" t="s">
        <v>111</v>
      </c>
      <c r="E331" s="28" t="s">
        <v>120</v>
      </c>
      <c r="F331" s="28" t="s">
        <v>95</v>
      </c>
      <c r="G331" s="29"/>
      <c r="H331" s="29"/>
      <c r="I331" s="28"/>
      <c r="J331" s="28" t="str">
        <f aca="false">INDEX(Turmas!$K:$K,MATCH(B331,Turmas!$M:$M,0))&amp;" | "&amp;INDEX(Turmas!$L:$L,MATCH(B331,Turmas!$M:$M,0))</f>
        <v>CICLO II  -  1º ANO | MANHÃ</v>
      </c>
    </row>
    <row r="332" customFormat="false" ht="15" hidden="false" customHeight="false" outlineLevel="0" collapsed="false">
      <c r="A332" s="28" t="str">
        <f aca="false">B332&amp;"|"&amp;C332</f>
        <v>C21101|25</v>
      </c>
      <c r="B332" s="28" t="s">
        <v>70</v>
      </c>
      <c r="C332" s="28" t="n">
        <v>25</v>
      </c>
      <c r="D332" s="28" t="s">
        <v>121</v>
      </c>
      <c r="E332" s="28" t="s">
        <v>122</v>
      </c>
      <c r="F332" s="28" t="s">
        <v>95</v>
      </c>
      <c r="G332" s="29"/>
      <c r="H332" s="29"/>
      <c r="I332" s="28"/>
      <c r="J332" s="28" t="str">
        <f aca="false">INDEX(Turmas!$K:$K,MATCH(B332,Turmas!$M:$M,0))&amp;" | "&amp;INDEX(Turmas!$L:$L,MATCH(B332,Turmas!$M:$M,0))</f>
        <v>CICLO II  -  1º ANO | MANHÃ</v>
      </c>
    </row>
    <row r="333" customFormat="false" ht="15" hidden="false" customHeight="false" outlineLevel="0" collapsed="false">
      <c r="A333" s="28" t="str">
        <f aca="false">B333&amp;"|"&amp;C333</f>
        <v>C21101|26</v>
      </c>
      <c r="B333" s="28" t="s">
        <v>70</v>
      </c>
      <c r="C333" s="28" t="n">
        <v>26</v>
      </c>
      <c r="D333" s="28" t="s">
        <v>121</v>
      </c>
      <c r="E333" s="28" t="s">
        <v>123</v>
      </c>
      <c r="F333" s="28" t="s">
        <v>95</v>
      </c>
      <c r="G333" s="29"/>
      <c r="H333" s="29"/>
      <c r="I333" s="28"/>
      <c r="J333" s="28" t="str">
        <f aca="false">INDEX(Turmas!$K:$K,MATCH(B333,Turmas!$M:$M,0))&amp;" | "&amp;INDEX(Turmas!$L:$L,MATCH(B333,Turmas!$M:$M,0))</f>
        <v>CICLO II  -  1º ANO | MANHÃ</v>
      </c>
    </row>
    <row r="334" customFormat="false" ht="15" hidden="false" customHeight="false" outlineLevel="0" collapsed="false">
      <c r="A334" s="28" t="str">
        <f aca="false">B334&amp;"|"&amp;C334</f>
        <v>C21101|27</v>
      </c>
      <c r="B334" s="28" t="s">
        <v>70</v>
      </c>
      <c r="C334" s="28" t="n">
        <v>27</v>
      </c>
      <c r="D334" s="28" t="s">
        <v>121</v>
      </c>
      <c r="E334" s="28" t="s">
        <v>124</v>
      </c>
      <c r="F334" s="28" t="s">
        <v>95</v>
      </c>
      <c r="G334" s="29"/>
      <c r="H334" s="29"/>
      <c r="I334" s="28"/>
      <c r="J334" s="28" t="str">
        <f aca="false">INDEX(Turmas!$K:$K,MATCH(B334,Turmas!$M:$M,0))&amp;" | "&amp;INDEX(Turmas!$L:$L,MATCH(B334,Turmas!$M:$M,0))</f>
        <v>CICLO II  -  1º ANO | MANHÃ</v>
      </c>
    </row>
    <row r="335" customFormat="false" ht="15" hidden="false" customHeight="false" outlineLevel="0" collapsed="false">
      <c r="A335" s="28" t="str">
        <f aca="false">B335&amp;"|"&amp;C335</f>
        <v>C21101|28</v>
      </c>
      <c r="B335" s="28" t="s">
        <v>70</v>
      </c>
      <c r="C335" s="28" t="n">
        <v>28</v>
      </c>
      <c r="D335" s="28" t="s">
        <v>121</v>
      </c>
      <c r="E335" s="28" t="s">
        <v>125</v>
      </c>
      <c r="F335" s="28" t="s">
        <v>95</v>
      </c>
      <c r="G335" s="29"/>
      <c r="H335" s="29"/>
      <c r="I335" s="28"/>
      <c r="J335" s="28" t="str">
        <f aca="false">INDEX(Turmas!$K:$K,MATCH(B335,Turmas!$M:$M,0))&amp;" | "&amp;INDEX(Turmas!$L:$L,MATCH(B335,Turmas!$M:$M,0))</f>
        <v>CICLO II  -  1º ANO | MANHÃ</v>
      </c>
    </row>
    <row r="336" customFormat="false" ht="15" hidden="false" customHeight="false" outlineLevel="0" collapsed="false">
      <c r="A336" s="28" t="str">
        <f aca="false">B336&amp;"|"&amp;C336</f>
        <v>C21101|29</v>
      </c>
      <c r="B336" s="28" t="s">
        <v>70</v>
      </c>
      <c r="C336" s="28" t="n">
        <v>29</v>
      </c>
      <c r="D336" s="28" t="s">
        <v>121</v>
      </c>
      <c r="E336" s="28" t="s">
        <v>126</v>
      </c>
      <c r="F336" s="28" t="s">
        <v>95</v>
      </c>
      <c r="G336" s="29"/>
      <c r="H336" s="29"/>
      <c r="I336" s="28"/>
      <c r="J336" s="28" t="str">
        <f aca="false">INDEX(Turmas!$K:$K,MATCH(B336,Turmas!$M:$M,0))&amp;" | "&amp;INDEX(Turmas!$L:$L,MATCH(B336,Turmas!$M:$M,0))</f>
        <v>CICLO II  -  1º ANO | MANHÃ</v>
      </c>
    </row>
    <row r="337" customFormat="false" ht="15" hidden="false" customHeight="false" outlineLevel="0" collapsed="false">
      <c r="A337" s="28" t="str">
        <f aca="false">B337&amp;"|"&amp;C337</f>
        <v>C21101|30</v>
      </c>
      <c r="B337" s="28" t="s">
        <v>70</v>
      </c>
      <c r="C337" s="28" t="n">
        <v>30</v>
      </c>
      <c r="D337" s="28" t="s">
        <v>127</v>
      </c>
      <c r="E337" s="28" t="s">
        <v>128</v>
      </c>
      <c r="F337" s="28" t="s">
        <v>95</v>
      </c>
      <c r="G337" s="29"/>
      <c r="H337" s="29"/>
      <c r="I337" s="28"/>
      <c r="J337" s="28" t="str">
        <f aca="false">INDEX(Turmas!$K:$K,MATCH(B337,Turmas!$M:$M,0))&amp;" | "&amp;INDEX(Turmas!$L:$L,MATCH(B337,Turmas!$M:$M,0))</f>
        <v>CICLO II  -  1º ANO | MANHÃ</v>
      </c>
    </row>
    <row r="338" customFormat="false" ht="15" hidden="false" customHeight="false" outlineLevel="0" collapsed="false">
      <c r="A338" s="28" t="str">
        <f aca="false">B338&amp;"|"&amp;C338</f>
        <v>C21101|31</v>
      </c>
      <c r="B338" s="28" t="s">
        <v>70</v>
      </c>
      <c r="C338" s="28" t="n">
        <v>31</v>
      </c>
      <c r="D338" s="28" t="s">
        <v>127</v>
      </c>
      <c r="E338" s="28" t="s">
        <v>108</v>
      </c>
      <c r="F338" s="28" t="s">
        <v>95</v>
      </c>
      <c r="G338" s="29"/>
      <c r="H338" s="29"/>
      <c r="I338" s="28"/>
      <c r="J338" s="28" t="str">
        <f aca="false">INDEX(Turmas!$K:$K,MATCH(B338,Turmas!$M:$M,0))&amp;" | "&amp;INDEX(Turmas!$L:$L,MATCH(B338,Turmas!$M:$M,0))</f>
        <v>CICLO II  -  1º ANO | MANHÃ</v>
      </c>
    </row>
    <row r="339" customFormat="false" ht="15" hidden="false" customHeight="false" outlineLevel="0" collapsed="false">
      <c r="A339" s="28" t="str">
        <f aca="false">B339&amp;"|"&amp;C339</f>
        <v>C21101|32</v>
      </c>
      <c r="B339" s="28" t="s">
        <v>70</v>
      </c>
      <c r="C339" s="28" t="n">
        <v>32</v>
      </c>
      <c r="D339" s="28" t="s">
        <v>127</v>
      </c>
      <c r="E339" s="28" t="s">
        <v>129</v>
      </c>
      <c r="F339" s="28" t="s">
        <v>95</v>
      </c>
      <c r="G339" s="29"/>
      <c r="H339" s="29"/>
      <c r="I339" s="28"/>
      <c r="J339" s="28" t="str">
        <f aca="false">INDEX(Turmas!$K:$K,MATCH(B339,Turmas!$M:$M,0))&amp;" | "&amp;INDEX(Turmas!$L:$L,MATCH(B339,Turmas!$M:$M,0))</f>
        <v>CICLO II  -  1º ANO | MANHÃ</v>
      </c>
    </row>
    <row r="340" customFormat="false" ht="15" hidden="false" customHeight="false" outlineLevel="0" collapsed="false">
      <c r="A340" s="28" t="str">
        <f aca="false">B340&amp;"|"&amp;C340</f>
        <v>C21101|33</v>
      </c>
      <c r="B340" s="28" t="s">
        <v>70</v>
      </c>
      <c r="C340" s="28" t="n">
        <v>33</v>
      </c>
      <c r="D340" s="28" t="s">
        <v>127</v>
      </c>
      <c r="E340" s="28" t="s">
        <v>130</v>
      </c>
      <c r="F340" s="28" t="s">
        <v>95</v>
      </c>
      <c r="G340" s="29"/>
      <c r="H340" s="29"/>
      <c r="I340" s="28"/>
      <c r="J340" s="28" t="str">
        <f aca="false">INDEX(Turmas!$K:$K,MATCH(B340,Turmas!$M:$M,0))&amp;" | "&amp;INDEX(Turmas!$L:$L,MATCH(B340,Turmas!$M:$M,0))</f>
        <v>CICLO II  -  1º ANO | MANHÃ</v>
      </c>
    </row>
    <row r="341" customFormat="false" ht="15" hidden="false" customHeight="false" outlineLevel="0" collapsed="false">
      <c r="A341" s="28" t="str">
        <f aca="false">B341&amp;"|"&amp;C341</f>
        <v>C21101|34</v>
      </c>
      <c r="B341" s="28" t="s">
        <v>70</v>
      </c>
      <c r="C341" s="28" t="n">
        <v>34</v>
      </c>
      <c r="D341" s="28" t="s">
        <v>127</v>
      </c>
      <c r="E341" s="28" t="s">
        <v>131</v>
      </c>
      <c r="F341" s="28" t="s">
        <v>95</v>
      </c>
      <c r="G341" s="29"/>
      <c r="H341" s="29"/>
      <c r="I341" s="28"/>
      <c r="J341" s="28" t="str">
        <f aca="false">INDEX(Turmas!$K:$K,MATCH(B341,Turmas!$M:$M,0))&amp;" | "&amp;INDEX(Turmas!$L:$L,MATCH(B341,Turmas!$M:$M,0))</f>
        <v>CICLO II  -  1º ANO | MANHÃ</v>
      </c>
    </row>
    <row r="342" customFormat="false" ht="15" hidden="false" customHeight="false" outlineLevel="0" collapsed="false">
      <c r="A342" s="28" t="str">
        <f aca="false">B342&amp;"|"&amp;C342</f>
        <v>C13102|1</v>
      </c>
      <c r="B342" s="28" t="s">
        <v>72</v>
      </c>
      <c r="C342" s="28" t="n">
        <v>1</v>
      </c>
      <c r="D342" s="28" t="s">
        <v>93</v>
      </c>
      <c r="E342" s="28" t="s">
        <v>94</v>
      </c>
      <c r="F342" s="28" t="s">
        <v>95</v>
      </c>
      <c r="G342" s="29"/>
      <c r="H342" s="29"/>
      <c r="I342" s="28"/>
      <c r="J342" s="28" t="str">
        <f aca="false">INDEX(Turmas!$K:$K,MATCH(B342,Turmas!$M:$M,0))&amp;" | "&amp;INDEX(Turmas!$L:$L,MATCH(B342,Turmas!$M:$M,0))</f>
        <v>CICLO I  -  3º ANO | MANHÃ</v>
      </c>
    </row>
    <row r="343" customFormat="false" ht="15" hidden="false" customHeight="false" outlineLevel="0" collapsed="false">
      <c r="A343" s="28" t="str">
        <f aca="false">B343&amp;"|"&amp;C343</f>
        <v>C13102|2</v>
      </c>
      <c r="B343" s="28" t="s">
        <v>72</v>
      </c>
      <c r="C343" s="28" t="n">
        <v>2</v>
      </c>
      <c r="D343" s="28" t="s">
        <v>93</v>
      </c>
      <c r="E343" s="28" t="s">
        <v>96</v>
      </c>
      <c r="F343" s="28" t="s">
        <v>95</v>
      </c>
      <c r="G343" s="29"/>
      <c r="H343" s="29"/>
      <c r="I343" s="28"/>
      <c r="J343" s="28" t="str">
        <f aca="false">INDEX(Turmas!$K:$K,MATCH(B343,Turmas!$M:$M,0))&amp;" | "&amp;INDEX(Turmas!$L:$L,MATCH(B343,Turmas!$M:$M,0))</f>
        <v>CICLO I  -  3º ANO | MANHÃ</v>
      </c>
    </row>
    <row r="344" customFormat="false" ht="15" hidden="false" customHeight="false" outlineLevel="0" collapsed="false">
      <c r="A344" s="28" t="str">
        <f aca="false">B344&amp;"|"&amp;C344</f>
        <v>C13102|3</v>
      </c>
      <c r="B344" s="28" t="s">
        <v>72</v>
      </c>
      <c r="C344" s="28" t="n">
        <v>3</v>
      </c>
      <c r="D344" s="28" t="s">
        <v>93</v>
      </c>
      <c r="E344" s="28" t="s">
        <v>97</v>
      </c>
      <c r="F344" s="28" t="s">
        <v>95</v>
      </c>
      <c r="G344" s="29"/>
      <c r="H344" s="29"/>
      <c r="I344" s="28"/>
      <c r="J344" s="28" t="str">
        <f aca="false">INDEX(Turmas!$K:$K,MATCH(B344,Turmas!$M:$M,0))&amp;" | "&amp;INDEX(Turmas!$L:$L,MATCH(B344,Turmas!$M:$M,0))</f>
        <v>CICLO I  -  3º ANO | MANHÃ</v>
      </c>
    </row>
    <row r="345" customFormat="false" ht="15" hidden="false" customHeight="false" outlineLevel="0" collapsed="false">
      <c r="A345" s="28" t="str">
        <f aca="false">B345&amp;"|"&amp;C345</f>
        <v>C13102|4</v>
      </c>
      <c r="B345" s="28" t="s">
        <v>72</v>
      </c>
      <c r="C345" s="28" t="n">
        <v>4</v>
      </c>
      <c r="D345" s="28" t="s">
        <v>93</v>
      </c>
      <c r="E345" s="28" t="s">
        <v>98</v>
      </c>
      <c r="F345" s="28" t="s">
        <v>95</v>
      </c>
      <c r="G345" s="29"/>
      <c r="H345" s="29"/>
      <c r="I345" s="28"/>
      <c r="J345" s="28" t="str">
        <f aca="false">INDEX(Turmas!$K:$K,MATCH(B345,Turmas!$M:$M,0))&amp;" | "&amp;INDEX(Turmas!$L:$L,MATCH(B345,Turmas!$M:$M,0))</f>
        <v>CICLO I  -  3º ANO | MANHÃ</v>
      </c>
    </row>
    <row r="346" customFormat="false" ht="15" hidden="false" customHeight="false" outlineLevel="0" collapsed="false">
      <c r="A346" s="28" t="str">
        <f aca="false">B346&amp;"|"&amp;C346</f>
        <v>C13102|5</v>
      </c>
      <c r="B346" s="28" t="s">
        <v>72</v>
      </c>
      <c r="C346" s="28" t="n">
        <v>5</v>
      </c>
      <c r="D346" s="28" t="s">
        <v>93</v>
      </c>
      <c r="E346" s="28" t="s">
        <v>99</v>
      </c>
      <c r="F346" s="28" t="s">
        <v>95</v>
      </c>
      <c r="G346" s="29"/>
      <c r="H346" s="29"/>
      <c r="I346" s="28"/>
      <c r="J346" s="28" t="str">
        <f aca="false">INDEX(Turmas!$K:$K,MATCH(B346,Turmas!$M:$M,0))&amp;" | "&amp;INDEX(Turmas!$L:$L,MATCH(B346,Turmas!$M:$M,0))</f>
        <v>CICLO I  -  3º ANO | MANHÃ</v>
      </c>
    </row>
    <row r="347" customFormat="false" ht="15" hidden="false" customHeight="false" outlineLevel="0" collapsed="false">
      <c r="A347" s="28" t="str">
        <f aca="false">B347&amp;"|"&amp;C347</f>
        <v>C13102|6</v>
      </c>
      <c r="B347" s="28" t="s">
        <v>72</v>
      </c>
      <c r="C347" s="28" t="n">
        <v>6</v>
      </c>
      <c r="D347" s="28" t="s">
        <v>93</v>
      </c>
      <c r="E347" s="28" t="s">
        <v>100</v>
      </c>
      <c r="F347" s="28" t="s">
        <v>95</v>
      </c>
      <c r="G347" s="29"/>
      <c r="H347" s="29"/>
      <c r="I347" s="28"/>
      <c r="J347" s="28" t="str">
        <f aca="false">INDEX(Turmas!$K:$K,MATCH(B347,Turmas!$M:$M,0))&amp;" | "&amp;INDEX(Turmas!$L:$L,MATCH(B347,Turmas!$M:$M,0))</f>
        <v>CICLO I  -  3º ANO | MANHÃ</v>
      </c>
    </row>
    <row r="348" customFormat="false" ht="15" hidden="false" customHeight="false" outlineLevel="0" collapsed="false">
      <c r="A348" s="28" t="str">
        <f aca="false">B348&amp;"|"&amp;C348</f>
        <v>C13102|7</v>
      </c>
      <c r="B348" s="28" t="s">
        <v>72</v>
      </c>
      <c r="C348" s="28" t="n">
        <v>7</v>
      </c>
      <c r="D348" s="28" t="s">
        <v>93</v>
      </c>
      <c r="E348" s="28" t="s">
        <v>101</v>
      </c>
      <c r="F348" s="28" t="s">
        <v>95</v>
      </c>
      <c r="G348" s="29"/>
      <c r="H348" s="29"/>
      <c r="I348" s="28"/>
      <c r="J348" s="28" t="str">
        <f aca="false">INDEX(Turmas!$K:$K,MATCH(B348,Turmas!$M:$M,0))&amp;" | "&amp;INDEX(Turmas!$L:$L,MATCH(B348,Turmas!$M:$M,0))</f>
        <v>CICLO I  -  3º ANO | MANHÃ</v>
      </c>
    </row>
    <row r="349" customFormat="false" ht="15" hidden="false" customHeight="false" outlineLevel="0" collapsed="false">
      <c r="A349" s="28" t="str">
        <f aca="false">B349&amp;"|"&amp;C349</f>
        <v>C13102|8</v>
      </c>
      <c r="B349" s="28" t="s">
        <v>72</v>
      </c>
      <c r="C349" s="28" t="n">
        <v>8</v>
      </c>
      <c r="D349" s="28" t="s">
        <v>102</v>
      </c>
      <c r="E349" s="28" t="s">
        <v>103</v>
      </c>
      <c r="F349" s="28" t="s">
        <v>95</v>
      </c>
      <c r="G349" s="29"/>
      <c r="H349" s="29"/>
      <c r="I349" s="28"/>
      <c r="J349" s="28" t="str">
        <f aca="false">INDEX(Turmas!$K:$K,MATCH(B349,Turmas!$M:$M,0))&amp;" | "&amp;INDEX(Turmas!$L:$L,MATCH(B349,Turmas!$M:$M,0))</f>
        <v>CICLO I  -  3º ANO | MANHÃ</v>
      </c>
    </row>
    <row r="350" customFormat="false" ht="15" hidden="false" customHeight="false" outlineLevel="0" collapsed="false">
      <c r="A350" s="28" t="str">
        <f aca="false">B350&amp;"|"&amp;C350</f>
        <v>C13102|9</v>
      </c>
      <c r="B350" s="28" t="s">
        <v>72</v>
      </c>
      <c r="C350" s="28" t="n">
        <v>9</v>
      </c>
      <c r="D350" s="28" t="s">
        <v>102</v>
      </c>
      <c r="E350" s="28" t="s">
        <v>104</v>
      </c>
      <c r="F350" s="28" t="s">
        <v>95</v>
      </c>
      <c r="G350" s="29"/>
      <c r="H350" s="29"/>
      <c r="I350" s="28"/>
      <c r="J350" s="28" t="str">
        <f aca="false">INDEX(Turmas!$K:$K,MATCH(B350,Turmas!$M:$M,0))&amp;" | "&amp;INDEX(Turmas!$L:$L,MATCH(B350,Turmas!$M:$M,0))</f>
        <v>CICLO I  -  3º ANO | MANHÃ</v>
      </c>
    </row>
    <row r="351" customFormat="false" ht="15" hidden="false" customHeight="false" outlineLevel="0" collapsed="false">
      <c r="A351" s="28" t="str">
        <f aca="false">B351&amp;"|"&amp;C351</f>
        <v>C13102|10</v>
      </c>
      <c r="B351" s="28" t="s">
        <v>72</v>
      </c>
      <c r="C351" s="28" t="n">
        <v>10</v>
      </c>
      <c r="D351" s="28" t="s">
        <v>102</v>
      </c>
      <c r="E351" s="28" t="s">
        <v>105</v>
      </c>
      <c r="F351" s="28" t="s">
        <v>95</v>
      </c>
      <c r="G351" s="29"/>
      <c r="H351" s="29"/>
      <c r="I351" s="28"/>
      <c r="J351" s="28" t="str">
        <f aca="false">INDEX(Turmas!$K:$K,MATCH(B351,Turmas!$M:$M,0))&amp;" | "&amp;INDEX(Turmas!$L:$L,MATCH(B351,Turmas!$M:$M,0))</f>
        <v>CICLO I  -  3º ANO | MANHÃ</v>
      </c>
    </row>
    <row r="352" customFormat="false" ht="15" hidden="false" customHeight="false" outlineLevel="0" collapsed="false">
      <c r="A352" s="28" t="str">
        <f aca="false">B352&amp;"|"&amp;C352</f>
        <v>C13102|11</v>
      </c>
      <c r="B352" s="28" t="s">
        <v>72</v>
      </c>
      <c r="C352" s="28" t="n">
        <v>11</v>
      </c>
      <c r="D352" s="28" t="s">
        <v>102</v>
      </c>
      <c r="E352" s="28" t="s">
        <v>106</v>
      </c>
      <c r="F352" s="28" t="s">
        <v>95</v>
      </c>
      <c r="G352" s="29"/>
      <c r="H352" s="29"/>
      <c r="I352" s="28"/>
      <c r="J352" s="28" t="str">
        <f aca="false">INDEX(Turmas!$K:$K,MATCH(B352,Turmas!$M:$M,0))&amp;" | "&amp;INDEX(Turmas!$L:$L,MATCH(B352,Turmas!$M:$M,0))</f>
        <v>CICLO I  -  3º ANO | MANHÃ</v>
      </c>
    </row>
    <row r="353" customFormat="false" ht="15" hidden="false" customHeight="false" outlineLevel="0" collapsed="false">
      <c r="A353" s="28" t="str">
        <f aca="false">B353&amp;"|"&amp;C353</f>
        <v>C13102|12</v>
      </c>
      <c r="B353" s="28" t="s">
        <v>72</v>
      </c>
      <c r="C353" s="28" t="n">
        <v>12</v>
      </c>
      <c r="D353" s="28" t="s">
        <v>102</v>
      </c>
      <c r="E353" s="28" t="s">
        <v>107</v>
      </c>
      <c r="F353" s="28" t="s">
        <v>95</v>
      </c>
      <c r="G353" s="29"/>
      <c r="H353" s="29"/>
      <c r="I353" s="28"/>
      <c r="J353" s="28" t="str">
        <f aca="false">INDEX(Turmas!$K:$K,MATCH(B353,Turmas!$M:$M,0))&amp;" | "&amp;INDEX(Turmas!$L:$L,MATCH(B353,Turmas!$M:$M,0))</f>
        <v>CICLO I  -  3º ANO | MANHÃ</v>
      </c>
    </row>
    <row r="354" customFormat="false" ht="15" hidden="false" customHeight="false" outlineLevel="0" collapsed="false">
      <c r="A354" s="28" t="str">
        <f aca="false">B354&amp;"|"&amp;C354</f>
        <v>C13102|13</v>
      </c>
      <c r="B354" s="28" t="s">
        <v>72</v>
      </c>
      <c r="C354" s="28" t="n">
        <v>13</v>
      </c>
      <c r="D354" s="28" t="s">
        <v>102</v>
      </c>
      <c r="E354" s="28" t="s">
        <v>108</v>
      </c>
      <c r="F354" s="28" t="s">
        <v>95</v>
      </c>
      <c r="G354" s="29"/>
      <c r="H354" s="29"/>
      <c r="I354" s="28"/>
      <c r="J354" s="28" t="str">
        <f aca="false">INDEX(Turmas!$K:$K,MATCH(B354,Turmas!$M:$M,0))&amp;" | "&amp;INDEX(Turmas!$L:$L,MATCH(B354,Turmas!$M:$M,0))</f>
        <v>CICLO I  -  3º ANO | MANHÃ</v>
      </c>
    </row>
    <row r="355" customFormat="false" ht="15" hidden="false" customHeight="false" outlineLevel="0" collapsed="false">
      <c r="A355" s="28" t="str">
        <f aca="false">B355&amp;"|"&amp;C355</f>
        <v>C13102|14</v>
      </c>
      <c r="B355" s="28" t="s">
        <v>72</v>
      </c>
      <c r="C355" s="28" t="n">
        <v>14</v>
      </c>
      <c r="D355" s="28" t="s">
        <v>102</v>
      </c>
      <c r="E355" s="28" t="s">
        <v>109</v>
      </c>
      <c r="F355" s="28" t="s">
        <v>95</v>
      </c>
      <c r="G355" s="29"/>
      <c r="H355" s="29"/>
      <c r="I355" s="28"/>
      <c r="J355" s="28" t="str">
        <f aca="false">INDEX(Turmas!$K:$K,MATCH(B355,Turmas!$M:$M,0))&amp;" | "&amp;INDEX(Turmas!$L:$L,MATCH(B355,Turmas!$M:$M,0))</f>
        <v>CICLO I  -  3º ANO | MANHÃ</v>
      </c>
    </row>
    <row r="356" customFormat="false" ht="15" hidden="false" customHeight="false" outlineLevel="0" collapsed="false">
      <c r="A356" s="28" t="str">
        <f aca="false">B356&amp;"|"&amp;C356</f>
        <v>C13102|15</v>
      </c>
      <c r="B356" s="28" t="s">
        <v>72</v>
      </c>
      <c r="C356" s="28" t="n">
        <v>15</v>
      </c>
      <c r="D356" s="28" t="s">
        <v>102</v>
      </c>
      <c r="E356" s="28" t="s">
        <v>110</v>
      </c>
      <c r="F356" s="28" t="s">
        <v>95</v>
      </c>
      <c r="G356" s="29"/>
      <c r="H356" s="29"/>
      <c r="I356" s="28"/>
      <c r="J356" s="28" t="str">
        <f aca="false">INDEX(Turmas!$K:$K,MATCH(B356,Turmas!$M:$M,0))&amp;" | "&amp;INDEX(Turmas!$L:$L,MATCH(B356,Turmas!$M:$M,0))</f>
        <v>CICLO I  -  3º ANO | MANHÃ</v>
      </c>
    </row>
    <row r="357" customFormat="false" ht="15" hidden="false" customHeight="false" outlineLevel="0" collapsed="false">
      <c r="A357" s="28" t="str">
        <f aca="false">B357&amp;"|"&amp;C357</f>
        <v>C13102|16</v>
      </c>
      <c r="B357" s="28" t="s">
        <v>72</v>
      </c>
      <c r="C357" s="28" t="n">
        <v>16</v>
      </c>
      <c r="D357" s="28" t="s">
        <v>111</v>
      </c>
      <c r="E357" s="28" t="s">
        <v>112</v>
      </c>
      <c r="F357" s="28" t="s">
        <v>95</v>
      </c>
      <c r="G357" s="29"/>
      <c r="H357" s="29"/>
      <c r="I357" s="28"/>
      <c r="J357" s="28" t="str">
        <f aca="false">INDEX(Turmas!$K:$K,MATCH(B357,Turmas!$M:$M,0))&amp;" | "&amp;INDEX(Turmas!$L:$L,MATCH(B357,Turmas!$M:$M,0))</f>
        <v>CICLO I  -  3º ANO | MANHÃ</v>
      </c>
    </row>
    <row r="358" customFormat="false" ht="15" hidden="false" customHeight="false" outlineLevel="0" collapsed="false">
      <c r="A358" s="28" t="str">
        <f aca="false">B358&amp;"|"&amp;C358</f>
        <v>C13102|17</v>
      </c>
      <c r="B358" s="28" t="s">
        <v>72</v>
      </c>
      <c r="C358" s="28" t="n">
        <v>17</v>
      </c>
      <c r="D358" s="28" t="s">
        <v>111</v>
      </c>
      <c r="E358" s="28" t="s">
        <v>113</v>
      </c>
      <c r="F358" s="28" t="s">
        <v>95</v>
      </c>
      <c r="G358" s="29"/>
      <c r="H358" s="29"/>
      <c r="I358" s="28"/>
      <c r="J358" s="28" t="str">
        <f aca="false">INDEX(Turmas!$K:$K,MATCH(B358,Turmas!$M:$M,0))&amp;" | "&amp;INDEX(Turmas!$L:$L,MATCH(B358,Turmas!$M:$M,0))</f>
        <v>CICLO I  -  3º ANO | MANHÃ</v>
      </c>
    </row>
    <row r="359" customFormat="false" ht="15" hidden="false" customHeight="false" outlineLevel="0" collapsed="false">
      <c r="A359" s="28" t="str">
        <f aca="false">B359&amp;"|"&amp;C359</f>
        <v>C13102|18</v>
      </c>
      <c r="B359" s="28" t="s">
        <v>72</v>
      </c>
      <c r="C359" s="28" t="n">
        <v>18</v>
      </c>
      <c r="D359" s="28" t="s">
        <v>111</v>
      </c>
      <c r="E359" s="28" t="s">
        <v>114</v>
      </c>
      <c r="F359" s="28" t="s">
        <v>95</v>
      </c>
      <c r="G359" s="29"/>
      <c r="H359" s="29"/>
      <c r="I359" s="28"/>
      <c r="J359" s="28" t="str">
        <f aca="false">INDEX(Turmas!$K:$K,MATCH(B359,Turmas!$M:$M,0))&amp;" | "&amp;INDEX(Turmas!$L:$L,MATCH(B359,Turmas!$M:$M,0))</f>
        <v>CICLO I  -  3º ANO | MANHÃ</v>
      </c>
    </row>
    <row r="360" customFormat="false" ht="15" hidden="false" customHeight="false" outlineLevel="0" collapsed="false">
      <c r="A360" s="28" t="str">
        <f aca="false">B360&amp;"|"&amp;C360</f>
        <v>C13102|19</v>
      </c>
      <c r="B360" s="28" t="s">
        <v>72</v>
      </c>
      <c r="C360" s="28" t="n">
        <v>19</v>
      </c>
      <c r="D360" s="28" t="s">
        <v>111</v>
      </c>
      <c r="E360" s="28" t="s">
        <v>115</v>
      </c>
      <c r="F360" s="28" t="s">
        <v>95</v>
      </c>
      <c r="G360" s="29"/>
      <c r="H360" s="29"/>
      <c r="I360" s="28"/>
      <c r="J360" s="28" t="str">
        <f aca="false">INDEX(Turmas!$K:$K,MATCH(B360,Turmas!$M:$M,0))&amp;" | "&amp;INDEX(Turmas!$L:$L,MATCH(B360,Turmas!$M:$M,0))</f>
        <v>CICLO I  -  3º ANO | MANHÃ</v>
      </c>
    </row>
    <row r="361" customFormat="false" ht="15" hidden="false" customHeight="false" outlineLevel="0" collapsed="false">
      <c r="A361" s="28" t="str">
        <f aca="false">B361&amp;"|"&amp;C361</f>
        <v>C13102|20</v>
      </c>
      <c r="B361" s="28" t="s">
        <v>72</v>
      </c>
      <c r="C361" s="28" t="n">
        <v>20</v>
      </c>
      <c r="D361" s="28" t="s">
        <v>111</v>
      </c>
      <c r="E361" s="28" t="s">
        <v>116</v>
      </c>
      <c r="F361" s="28" t="s">
        <v>95</v>
      </c>
      <c r="G361" s="29"/>
      <c r="H361" s="29"/>
      <c r="I361" s="28"/>
      <c r="J361" s="28" t="str">
        <f aca="false">INDEX(Turmas!$K:$K,MATCH(B361,Turmas!$M:$M,0))&amp;" | "&amp;INDEX(Turmas!$L:$L,MATCH(B361,Turmas!$M:$M,0))</f>
        <v>CICLO I  -  3º ANO | MANHÃ</v>
      </c>
    </row>
    <row r="362" customFormat="false" ht="15" hidden="false" customHeight="false" outlineLevel="0" collapsed="false">
      <c r="A362" s="28" t="str">
        <f aca="false">B362&amp;"|"&amp;C362</f>
        <v>C13102|21</v>
      </c>
      <c r="B362" s="28" t="s">
        <v>72</v>
      </c>
      <c r="C362" s="28" t="n">
        <v>21</v>
      </c>
      <c r="D362" s="28" t="s">
        <v>111</v>
      </c>
      <c r="E362" s="28" t="s">
        <v>117</v>
      </c>
      <c r="F362" s="28" t="s">
        <v>95</v>
      </c>
      <c r="G362" s="29"/>
      <c r="H362" s="29"/>
      <c r="I362" s="28"/>
      <c r="J362" s="28" t="str">
        <f aca="false">INDEX(Turmas!$K:$K,MATCH(B362,Turmas!$M:$M,0))&amp;" | "&amp;INDEX(Turmas!$L:$L,MATCH(B362,Turmas!$M:$M,0))</f>
        <v>CICLO I  -  3º ANO | MANHÃ</v>
      </c>
    </row>
    <row r="363" customFormat="false" ht="15" hidden="false" customHeight="false" outlineLevel="0" collapsed="false">
      <c r="A363" s="28" t="str">
        <f aca="false">B363&amp;"|"&amp;C363</f>
        <v>C13102|22</v>
      </c>
      <c r="B363" s="28" t="s">
        <v>72</v>
      </c>
      <c r="C363" s="28" t="n">
        <v>22</v>
      </c>
      <c r="D363" s="28" t="s">
        <v>111</v>
      </c>
      <c r="E363" s="28" t="s">
        <v>118</v>
      </c>
      <c r="F363" s="28" t="s">
        <v>95</v>
      </c>
      <c r="G363" s="29"/>
      <c r="H363" s="29"/>
      <c r="I363" s="28"/>
      <c r="J363" s="28" t="str">
        <f aca="false">INDEX(Turmas!$K:$K,MATCH(B363,Turmas!$M:$M,0))&amp;" | "&amp;INDEX(Turmas!$L:$L,MATCH(B363,Turmas!$M:$M,0))</f>
        <v>CICLO I  -  3º ANO | MANHÃ</v>
      </c>
    </row>
    <row r="364" customFormat="false" ht="15" hidden="false" customHeight="false" outlineLevel="0" collapsed="false">
      <c r="A364" s="28" t="str">
        <f aca="false">B364&amp;"|"&amp;C364</f>
        <v>C13102|23</v>
      </c>
      <c r="B364" s="28" t="s">
        <v>72</v>
      </c>
      <c r="C364" s="28" t="n">
        <v>23</v>
      </c>
      <c r="D364" s="28" t="s">
        <v>111</v>
      </c>
      <c r="E364" s="28" t="s">
        <v>119</v>
      </c>
      <c r="F364" s="28" t="s">
        <v>95</v>
      </c>
      <c r="G364" s="29"/>
      <c r="H364" s="29"/>
      <c r="I364" s="28"/>
      <c r="J364" s="28" t="str">
        <f aca="false">INDEX(Turmas!$K:$K,MATCH(B364,Turmas!$M:$M,0))&amp;" | "&amp;INDEX(Turmas!$L:$L,MATCH(B364,Turmas!$M:$M,0))</f>
        <v>CICLO I  -  3º ANO | MANHÃ</v>
      </c>
    </row>
    <row r="365" customFormat="false" ht="15" hidden="false" customHeight="false" outlineLevel="0" collapsed="false">
      <c r="A365" s="28" t="str">
        <f aca="false">B365&amp;"|"&amp;C365</f>
        <v>C13102|24</v>
      </c>
      <c r="B365" s="28" t="s">
        <v>72</v>
      </c>
      <c r="C365" s="28" t="n">
        <v>24</v>
      </c>
      <c r="D365" s="28" t="s">
        <v>111</v>
      </c>
      <c r="E365" s="28" t="s">
        <v>120</v>
      </c>
      <c r="F365" s="28" t="s">
        <v>95</v>
      </c>
      <c r="G365" s="29"/>
      <c r="H365" s="29"/>
      <c r="I365" s="28"/>
      <c r="J365" s="28" t="str">
        <f aca="false">INDEX(Turmas!$K:$K,MATCH(B365,Turmas!$M:$M,0))&amp;" | "&amp;INDEX(Turmas!$L:$L,MATCH(B365,Turmas!$M:$M,0))</f>
        <v>CICLO I  -  3º ANO | MANHÃ</v>
      </c>
    </row>
    <row r="366" customFormat="false" ht="15" hidden="false" customHeight="false" outlineLevel="0" collapsed="false">
      <c r="A366" s="28" t="str">
        <f aca="false">B366&amp;"|"&amp;C366</f>
        <v>C13102|25</v>
      </c>
      <c r="B366" s="28" t="s">
        <v>72</v>
      </c>
      <c r="C366" s="28" t="n">
        <v>25</v>
      </c>
      <c r="D366" s="28" t="s">
        <v>121</v>
      </c>
      <c r="E366" s="28" t="s">
        <v>122</v>
      </c>
      <c r="F366" s="28" t="s">
        <v>95</v>
      </c>
      <c r="G366" s="29"/>
      <c r="H366" s="29"/>
      <c r="I366" s="28"/>
      <c r="J366" s="28" t="str">
        <f aca="false">INDEX(Turmas!$K:$K,MATCH(B366,Turmas!$M:$M,0))&amp;" | "&amp;INDEX(Turmas!$L:$L,MATCH(B366,Turmas!$M:$M,0))</f>
        <v>CICLO I  -  3º ANO | MANHÃ</v>
      </c>
    </row>
    <row r="367" customFormat="false" ht="15" hidden="false" customHeight="false" outlineLevel="0" collapsed="false">
      <c r="A367" s="28" t="str">
        <f aca="false">B367&amp;"|"&amp;C367</f>
        <v>C13102|26</v>
      </c>
      <c r="B367" s="28" t="s">
        <v>72</v>
      </c>
      <c r="C367" s="28" t="n">
        <v>26</v>
      </c>
      <c r="D367" s="28" t="s">
        <v>121</v>
      </c>
      <c r="E367" s="28" t="s">
        <v>123</v>
      </c>
      <c r="F367" s="28" t="s">
        <v>95</v>
      </c>
      <c r="G367" s="29"/>
      <c r="H367" s="29"/>
      <c r="I367" s="28"/>
      <c r="J367" s="28" t="str">
        <f aca="false">INDEX(Turmas!$K:$K,MATCH(B367,Turmas!$M:$M,0))&amp;" | "&amp;INDEX(Turmas!$L:$L,MATCH(B367,Turmas!$M:$M,0))</f>
        <v>CICLO I  -  3º ANO | MANHÃ</v>
      </c>
    </row>
    <row r="368" customFormat="false" ht="15" hidden="false" customHeight="false" outlineLevel="0" collapsed="false">
      <c r="A368" s="28" t="str">
        <f aca="false">B368&amp;"|"&amp;C368</f>
        <v>C13102|27</v>
      </c>
      <c r="B368" s="28" t="s">
        <v>72</v>
      </c>
      <c r="C368" s="28" t="n">
        <v>27</v>
      </c>
      <c r="D368" s="28" t="s">
        <v>121</v>
      </c>
      <c r="E368" s="28" t="s">
        <v>124</v>
      </c>
      <c r="F368" s="28" t="s">
        <v>95</v>
      </c>
      <c r="G368" s="29"/>
      <c r="H368" s="29"/>
      <c r="I368" s="28"/>
      <c r="J368" s="28" t="str">
        <f aca="false">INDEX(Turmas!$K:$K,MATCH(B368,Turmas!$M:$M,0))&amp;" | "&amp;INDEX(Turmas!$L:$L,MATCH(B368,Turmas!$M:$M,0))</f>
        <v>CICLO I  -  3º ANO | MANHÃ</v>
      </c>
    </row>
    <row r="369" customFormat="false" ht="15" hidden="false" customHeight="false" outlineLevel="0" collapsed="false">
      <c r="A369" s="28" t="str">
        <f aca="false">B369&amp;"|"&amp;C369</f>
        <v>C13102|28</v>
      </c>
      <c r="B369" s="28" t="s">
        <v>72</v>
      </c>
      <c r="C369" s="28" t="n">
        <v>28</v>
      </c>
      <c r="D369" s="28" t="s">
        <v>121</v>
      </c>
      <c r="E369" s="28" t="s">
        <v>125</v>
      </c>
      <c r="F369" s="28" t="s">
        <v>95</v>
      </c>
      <c r="G369" s="29"/>
      <c r="H369" s="29"/>
      <c r="I369" s="28"/>
      <c r="J369" s="28" t="str">
        <f aca="false">INDEX(Turmas!$K:$K,MATCH(B369,Turmas!$M:$M,0))&amp;" | "&amp;INDEX(Turmas!$L:$L,MATCH(B369,Turmas!$M:$M,0))</f>
        <v>CICLO I  -  3º ANO | MANHÃ</v>
      </c>
    </row>
    <row r="370" customFormat="false" ht="15" hidden="false" customHeight="false" outlineLevel="0" collapsed="false">
      <c r="A370" s="28" t="str">
        <f aca="false">B370&amp;"|"&amp;C370</f>
        <v>C13102|29</v>
      </c>
      <c r="B370" s="28" t="s">
        <v>72</v>
      </c>
      <c r="C370" s="28" t="n">
        <v>29</v>
      </c>
      <c r="D370" s="28" t="s">
        <v>121</v>
      </c>
      <c r="E370" s="28" t="s">
        <v>126</v>
      </c>
      <c r="F370" s="28" t="s">
        <v>95</v>
      </c>
      <c r="G370" s="29"/>
      <c r="H370" s="29"/>
      <c r="I370" s="28"/>
      <c r="J370" s="28" t="str">
        <f aca="false">INDEX(Turmas!$K:$K,MATCH(B370,Turmas!$M:$M,0))&amp;" | "&amp;INDEX(Turmas!$L:$L,MATCH(B370,Turmas!$M:$M,0))</f>
        <v>CICLO I  -  3º ANO | MANHÃ</v>
      </c>
    </row>
    <row r="371" customFormat="false" ht="15" hidden="false" customHeight="false" outlineLevel="0" collapsed="false">
      <c r="A371" s="28" t="str">
        <f aca="false">B371&amp;"|"&amp;C371</f>
        <v>C13102|30</v>
      </c>
      <c r="B371" s="28" t="s">
        <v>72</v>
      </c>
      <c r="C371" s="28" t="n">
        <v>30</v>
      </c>
      <c r="D371" s="28" t="s">
        <v>127</v>
      </c>
      <c r="E371" s="28" t="s">
        <v>128</v>
      </c>
      <c r="F371" s="28" t="s">
        <v>95</v>
      </c>
      <c r="G371" s="29"/>
      <c r="H371" s="29"/>
      <c r="I371" s="28"/>
      <c r="J371" s="28" t="str">
        <f aca="false">INDEX(Turmas!$K:$K,MATCH(B371,Turmas!$M:$M,0))&amp;" | "&amp;INDEX(Turmas!$L:$L,MATCH(B371,Turmas!$M:$M,0))</f>
        <v>CICLO I  -  3º ANO | MANHÃ</v>
      </c>
    </row>
    <row r="372" customFormat="false" ht="15" hidden="false" customHeight="false" outlineLevel="0" collapsed="false">
      <c r="A372" s="28" t="str">
        <f aca="false">B372&amp;"|"&amp;C372</f>
        <v>C13102|31</v>
      </c>
      <c r="B372" s="28" t="s">
        <v>72</v>
      </c>
      <c r="C372" s="28" t="n">
        <v>31</v>
      </c>
      <c r="D372" s="28" t="s">
        <v>127</v>
      </c>
      <c r="E372" s="28" t="s">
        <v>108</v>
      </c>
      <c r="F372" s="28" t="s">
        <v>95</v>
      </c>
      <c r="G372" s="29"/>
      <c r="H372" s="29"/>
      <c r="I372" s="28"/>
      <c r="J372" s="28" t="str">
        <f aca="false">INDEX(Turmas!$K:$K,MATCH(B372,Turmas!$M:$M,0))&amp;" | "&amp;INDEX(Turmas!$L:$L,MATCH(B372,Turmas!$M:$M,0))</f>
        <v>CICLO I  -  3º ANO | MANHÃ</v>
      </c>
    </row>
    <row r="373" customFormat="false" ht="15" hidden="false" customHeight="false" outlineLevel="0" collapsed="false">
      <c r="A373" s="28" t="str">
        <f aca="false">B373&amp;"|"&amp;C373</f>
        <v>C13102|32</v>
      </c>
      <c r="B373" s="28" t="s">
        <v>72</v>
      </c>
      <c r="C373" s="28" t="n">
        <v>32</v>
      </c>
      <c r="D373" s="28" t="s">
        <v>127</v>
      </c>
      <c r="E373" s="28" t="s">
        <v>129</v>
      </c>
      <c r="F373" s="28" t="s">
        <v>95</v>
      </c>
      <c r="G373" s="29"/>
      <c r="H373" s="29"/>
      <c r="I373" s="28"/>
      <c r="J373" s="28" t="str">
        <f aca="false">INDEX(Turmas!$K:$K,MATCH(B373,Turmas!$M:$M,0))&amp;" | "&amp;INDEX(Turmas!$L:$L,MATCH(B373,Turmas!$M:$M,0))</f>
        <v>CICLO I  -  3º ANO | MANHÃ</v>
      </c>
    </row>
    <row r="374" customFormat="false" ht="15" hidden="false" customHeight="false" outlineLevel="0" collapsed="false">
      <c r="A374" s="28" t="str">
        <f aca="false">B374&amp;"|"&amp;C374</f>
        <v>C13102|33</v>
      </c>
      <c r="B374" s="28" t="s">
        <v>72</v>
      </c>
      <c r="C374" s="28" t="n">
        <v>33</v>
      </c>
      <c r="D374" s="28" t="s">
        <v>127</v>
      </c>
      <c r="E374" s="28" t="s">
        <v>130</v>
      </c>
      <c r="F374" s="28" t="s">
        <v>95</v>
      </c>
      <c r="G374" s="29"/>
      <c r="H374" s="29"/>
      <c r="I374" s="28"/>
      <c r="J374" s="28" t="str">
        <f aca="false">INDEX(Turmas!$K:$K,MATCH(B374,Turmas!$M:$M,0))&amp;" | "&amp;INDEX(Turmas!$L:$L,MATCH(B374,Turmas!$M:$M,0))</f>
        <v>CICLO I  -  3º ANO | MANHÃ</v>
      </c>
    </row>
    <row r="375" customFormat="false" ht="15" hidden="false" customHeight="false" outlineLevel="0" collapsed="false">
      <c r="A375" s="28" t="str">
        <f aca="false">B375&amp;"|"&amp;C375</f>
        <v>C13102|34</v>
      </c>
      <c r="B375" s="28" t="s">
        <v>72</v>
      </c>
      <c r="C375" s="28" t="n">
        <v>34</v>
      </c>
      <c r="D375" s="28" t="s">
        <v>127</v>
      </c>
      <c r="E375" s="28" t="s">
        <v>131</v>
      </c>
      <c r="F375" s="28" t="s">
        <v>95</v>
      </c>
      <c r="G375" s="29"/>
      <c r="H375" s="29"/>
      <c r="I375" s="28"/>
      <c r="J375" s="28" t="str">
        <f aca="false">INDEX(Turmas!$K:$K,MATCH(B375,Turmas!$M:$M,0))&amp;" | "&amp;INDEX(Turmas!$L:$L,MATCH(B375,Turmas!$M:$M,0))</f>
        <v>CICLO I  -  3º ANO | MANHÃ</v>
      </c>
    </row>
    <row r="376" customFormat="false" ht="15" hidden="false" customHeight="false" outlineLevel="0" collapsed="false">
      <c r="A376" s="28" t="str">
        <f aca="false">B376&amp;"|"&amp;C376</f>
        <v>C13101|1</v>
      </c>
      <c r="B376" s="28" t="s">
        <v>73</v>
      </c>
      <c r="C376" s="28" t="n">
        <v>1</v>
      </c>
      <c r="D376" s="28" t="s">
        <v>93</v>
      </c>
      <c r="E376" s="28" t="s">
        <v>94</v>
      </c>
      <c r="F376" s="28" t="s">
        <v>95</v>
      </c>
      <c r="G376" s="29"/>
      <c r="H376" s="29"/>
      <c r="I376" s="28"/>
      <c r="J376" s="28" t="str">
        <f aca="false">INDEX(Turmas!$K:$K,MATCH(B376,Turmas!$M:$M,0))&amp;" | "&amp;INDEX(Turmas!$L:$L,MATCH(B376,Turmas!$M:$M,0))</f>
        <v>CICLO I  -  3º ANO | MANHÃ</v>
      </c>
    </row>
    <row r="377" customFormat="false" ht="15" hidden="false" customHeight="false" outlineLevel="0" collapsed="false">
      <c r="A377" s="28" t="str">
        <f aca="false">B377&amp;"|"&amp;C377</f>
        <v>C13101|2</v>
      </c>
      <c r="B377" s="28" t="s">
        <v>73</v>
      </c>
      <c r="C377" s="28" t="n">
        <v>2</v>
      </c>
      <c r="D377" s="28" t="s">
        <v>93</v>
      </c>
      <c r="E377" s="28" t="s">
        <v>96</v>
      </c>
      <c r="F377" s="28" t="s">
        <v>95</v>
      </c>
      <c r="G377" s="29"/>
      <c r="H377" s="29"/>
      <c r="I377" s="28"/>
      <c r="J377" s="28" t="str">
        <f aca="false">INDEX(Turmas!$K:$K,MATCH(B377,Turmas!$M:$M,0))&amp;" | "&amp;INDEX(Turmas!$L:$L,MATCH(B377,Turmas!$M:$M,0))</f>
        <v>CICLO I  -  3º ANO | MANHÃ</v>
      </c>
    </row>
    <row r="378" customFormat="false" ht="15" hidden="false" customHeight="false" outlineLevel="0" collapsed="false">
      <c r="A378" s="28" t="str">
        <f aca="false">B378&amp;"|"&amp;C378</f>
        <v>C13101|3</v>
      </c>
      <c r="B378" s="28" t="s">
        <v>73</v>
      </c>
      <c r="C378" s="28" t="n">
        <v>3</v>
      </c>
      <c r="D378" s="28" t="s">
        <v>93</v>
      </c>
      <c r="E378" s="28" t="s">
        <v>97</v>
      </c>
      <c r="F378" s="28" t="s">
        <v>95</v>
      </c>
      <c r="G378" s="29"/>
      <c r="H378" s="29"/>
      <c r="I378" s="28"/>
      <c r="J378" s="28" t="str">
        <f aca="false">INDEX(Turmas!$K:$K,MATCH(B378,Turmas!$M:$M,0))&amp;" | "&amp;INDEX(Turmas!$L:$L,MATCH(B378,Turmas!$M:$M,0))</f>
        <v>CICLO I  -  3º ANO | MANHÃ</v>
      </c>
    </row>
    <row r="379" customFormat="false" ht="15" hidden="false" customHeight="false" outlineLevel="0" collapsed="false">
      <c r="A379" s="28" t="str">
        <f aca="false">B379&amp;"|"&amp;C379</f>
        <v>C13101|4</v>
      </c>
      <c r="B379" s="28" t="s">
        <v>73</v>
      </c>
      <c r="C379" s="28" t="n">
        <v>4</v>
      </c>
      <c r="D379" s="28" t="s">
        <v>93</v>
      </c>
      <c r="E379" s="28" t="s">
        <v>98</v>
      </c>
      <c r="F379" s="28" t="s">
        <v>95</v>
      </c>
      <c r="G379" s="29"/>
      <c r="H379" s="29"/>
      <c r="I379" s="28"/>
      <c r="J379" s="28" t="str">
        <f aca="false">INDEX(Turmas!$K:$K,MATCH(B379,Turmas!$M:$M,0))&amp;" | "&amp;INDEX(Turmas!$L:$L,MATCH(B379,Turmas!$M:$M,0))</f>
        <v>CICLO I  -  3º ANO | MANHÃ</v>
      </c>
    </row>
    <row r="380" customFormat="false" ht="15" hidden="false" customHeight="false" outlineLevel="0" collapsed="false">
      <c r="A380" s="28" t="str">
        <f aca="false">B380&amp;"|"&amp;C380</f>
        <v>C13101|5</v>
      </c>
      <c r="B380" s="28" t="s">
        <v>73</v>
      </c>
      <c r="C380" s="28" t="n">
        <v>5</v>
      </c>
      <c r="D380" s="28" t="s">
        <v>93</v>
      </c>
      <c r="E380" s="28" t="s">
        <v>99</v>
      </c>
      <c r="F380" s="28" t="s">
        <v>95</v>
      </c>
      <c r="G380" s="29"/>
      <c r="H380" s="29"/>
      <c r="I380" s="28"/>
      <c r="J380" s="28" t="str">
        <f aca="false">INDEX(Turmas!$K:$K,MATCH(B380,Turmas!$M:$M,0))&amp;" | "&amp;INDEX(Turmas!$L:$L,MATCH(B380,Turmas!$M:$M,0))</f>
        <v>CICLO I  -  3º ANO | MANHÃ</v>
      </c>
    </row>
    <row r="381" customFormat="false" ht="15" hidden="false" customHeight="false" outlineLevel="0" collapsed="false">
      <c r="A381" s="28" t="str">
        <f aca="false">B381&amp;"|"&amp;C381</f>
        <v>C13101|6</v>
      </c>
      <c r="B381" s="28" t="s">
        <v>73</v>
      </c>
      <c r="C381" s="28" t="n">
        <v>6</v>
      </c>
      <c r="D381" s="28" t="s">
        <v>93</v>
      </c>
      <c r="E381" s="28" t="s">
        <v>100</v>
      </c>
      <c r="F381" s="28" t="s">
        <v>95</v>
      </c>
      <c r="G381" s="29"/>
      <c r="H381" s="29"/>
      <c r="I381" s="28"/>
      <c r="J381" s="28" t="str">
        <f aca="false">INDEX(Turmas!$K:$K,MATCH(B381,Turmas!$M:$M,0))&amp;" | "&amp;INDEX(Turmas!$L:$L,MATCH(B381,Turmas!$M:$M,0))</f>
        <v>CICLO I  -  3º ANO | MANHÃ</v>
      </c>
    </row>
    <row r="382" customFormat="false" ht="15" hidden="false" customHeight="false" outlineLevel="0" collapsed="false">
      <c r="A382" s="28" t="str">
        <f aca="false">B382&amp;"|"&amp;C382</f>
        <v>C13101|7</v>
      </c>
      <c r="B382" s="28" t="s">
        <v>73</v>
      </c>
      <c r="C382" s="28" t="n">
        <v>7</v>
      </c>
      <c r="D382" s="28" t="s">
        <v>93</v>
      </c>
      <c r="E382" s="28" t="s">
        <v>101</v>
      </c>
      <c r="F382" s="28" t="s">
        <v>95</v>
      </c>
      <c r="G382" s="29"/>
      <c r="H382" s="29"/>
      <c r="I382" s="28"/>
      <c r="J382" s="28" t="str">
        <f aca="false">INDEX(Turmas!$K:$K,MATCH(B382,Turmas!$M:$M,0))&amp;" | "&amp;INDEX(Turmas!$L:$L,MATCH(B382,Turmas!$M:$M,0))</f>
        <v>CICLO I  -  3º ANO | MANHÃ</v>
      </c>
    </row>
    <row r="383" customFormat="false" ht="15" hidden="false" customHeight="false" outlineLevel="0" collapsed="false">
      <c r="A383" s="28" t="str">
        <f aca="false">B383&amp;"|"&amp;C383</f>
        <v>C13101|8</v>
      </c>
      <c r="B383" s="28" t="s">
        <v>73</v>
      </c>
      <c r="C383" s="28" t="n">
        <v>8</v>
      </c>
      <c r="D383" s="28" t="s">
        <v>102</v>
      </c>
      <c r="E383" s="28" t="s">
        <v>103</v>
      </c>
      <c r="F383" s="28" t="s">
        <v>95</v>
      </c>
      <c r="G383" s="29"/>
      <c r="H383" s="29"/>
      <c r="I383" s="28"/>
      <c r="J383" s="28" t="str">
        <f aca="false">INDEX(Turmas!$K:$K,MATCH(B383,Turmas!$M:$M,0))&amp;" | "&amp;INDEX(Turmas!$L:$L,MATCH(B383,Turmas!$M:$M,0))</f>
        <v>CICLO I  -  3º ANO | MANHÃ</v>
      </c>
    </row>
    <row r="384" customFormat="false" ht="15" hidden="false" customHeight="false" outlineLevel="0" collapsed="false">
      <c r="A384" s="28" t="str">
        <f aca="false">B384&amp;"|"&amp;C384</f>
        <v>C13101|9</v>
      </c>
      <c r="B384" s="28" t="s">
        <v>73</v>
      </c>
      <c r="C384" s="28" t="n">
        <v>9</v>
      </c>
      <c r="D384" s="28" t="s">
        <v>102</v>
      </c>
      <c r="E384" s="28" t="s">
        <v>104</v>
      </c>
      <c r="F384" s="28" t="s">
        <v>95</v>
      </c>
      <c r="G384" s="29"/>
      <c r="H384" s="29"/>
      <c r="I384" s="28"/>
      <c r="J384" s="28" t="str">
        <f aca="false">INDEX(Turmas!$K:$K,MATCH(B384,Turmas!$M:$M,0))&amp;" | "&amp;INDEX(Turmas!$L:$L,MATCH(B384,Turmas!$M:$M,0))</f>
        <v>CICLO I  -  3º ANO | MANHÃ</v>
      </c>
    </row>
    <row r="385" customFormat="false" ht="15" hidden="false" customHeight="false" outlineLevel="0" collapsed="false">
      <c r="A385" s="28" t="str">
        <f aca="false">B385&amp;"|"&amp;C385</f>
        <v>C13101|10</v>
      </c>
      <c r="B385" s="28" t="s">
        <v>73</v>
      </c>
      <c r="C385" s="28" t="n">
        <v>10</v>
      </c>
      <c r="D385" s="28" t="s">
        <v>102</v>
      </c>
      <c r="E385" s="28" t="s">
        <v>105</v>
      </c>
      <c r="F385" s="28" t="s">
        <v>95</v>
      </c>
      <c r="G385" s="29"/>
      <c r="H385" s="29"/>
      <c r="I385" s="28"/>
      <c r="J385" s="28" t="str">
        <f aca="false">INDEX(Turmas!$K:$K,MATCH(B385,Turmas!$M:$M,0))&amp;" | "&amp;INDEX(Turmas!$L:$L,MATCH(B385,Turmas!$M:$M,0))</f>
        <v>CICLO I  -  3º ANO | MANHÃ</v>
      </c>
    </row>
    <row r="386" customFormat="false" ht="15" hidden="false" customHeight="false" outlineLevel="0" collapsed="false">
      <c r="A386" s="28" t="str">
        <f aca="false">B386&amp;"|"&amp;C386</f>
        <v>C13101|11</v>
      </c>
      <c r="B386" s="28" t="s">
        <v>73</v>
      </c>
      <c r="C386" s="28" t="n">
        <v>11</v>
      </c>
      <c r="D386" s="28" t="s">
        <v>102</v>
      </c>
      <c r="E386" s="28" t="s">
        <v>106</v>
      </c>
      <c r="F386" s="28" t="s">
        <v>95</v>
      </c>
      <c r="G386" s="29"/>
      <c r="H386" s="29"/>
      <c r="I386" s="28"/>
      <c r="J386" s="28" t="str">
        <f aca="false">INDEX(Turmas!$K:$K,MATCH(B386,Turmas!$M:$M,0))&amp;" | "&amp;INDEX(Turmas!$L:$L,MATCH(B386,Turmas!$M:$M,0))</f>
        <v>CICLO I  -  3º ANO | MANHÃ</v>
      </c>
    </row>
    <row r="387" customFormat="false" ht="15" hidden="false" customHeight="false" outlineLevel="0" collapsed="false">
      <c r="A387" s="28" t="str">
        <f aca="false">B387&amp;"|"&amp;C387</f>
        <v>C13101|12</v>
      </c>
      <c r="B387" s="28" t="s">
        <v>73</v>
      </c>
      <c r="C387" s="28" t="n">
        <v>12</v>
      </c>
      <c r="D387" s="28" t="s">
        <v>102</v>
      </c>
      <c r="E387" s="28" t="s">
        <v>107</v>
      </c>
      <c r="F387" s="28" t="s">
        <v>95</v>
      </c>
      <c r="G387" s="29"/>
      <c r="H387" s="29"/>
      <c r="I387" s="28"/>
      <c r="J387" s="28" t="str">
        <f aca="false">INDEX(Turmas!$K:$K,MATCH(B387,Turmas!$M:$M,0))&amp;" | "&amp;INDEX(Turmas!$L:$L,MATCH(B387,Turmas!$M:$M,0))</f>
        <v>CICLO I  -  3º ANO | MANHÃ</v>
      </c>
    </row>
    <row r="388" customFormat="false" ht="15" hidden="false" customHeight="false" outlineLevel="0" collapsed="false">
      <c r="A388" s="28" t="str">
        <f aca="false">B388&amp;"|"&amp;C388</f>
        <v>C13101|13</v>
      </c>
      <c r="B388" s="28" t="s">
        <v>73</v>
      </c>
      <c r="C388" s="28" t="n">
        <v>13</v>
      </c>
      <c r="D388" s="28" t="s">
        <v>102</v>
      </c>
      <c r="E388" s="28" t="s">
        <v>108</v>
      </c>
      <c r="F388" s="28" t="s">
        <v>95</v>
      </c>
      <c r="G388" s="29"/>
      <c r="H388" s="29"/>
      <c r="I388" s="28"/>
      <c r="J388" s="28" t="str">
        <f aca="false">INDEX(Turmas!$K:$K,MATCH(B388,Turmas!$M:$M,0))&amp;" | "&amp;INDEX(Turmas!$L:$L,MATCH(B388,Turmas!$M:$M,0))</f>
        <v>CICLO I  -  3º ANO | MANHÃ</v>
      </c>
    </row>
    <row r="389" customFormat="false" ht="15" hidden="false" customHeight="false" outlineLevel="0" collapsed="false">
      <c r="A389" s="28" t="str">
        <f aca="false">B389&amp;"|"&amp;C389</f>
        <v>C13101|14</v>
      </c>
      <c r="B389" s="28" t="s">
        <v>73</v>
      </c>
      <c r="C389" s="28" t="n">
        <v>14</v>
      </c>
      <c r="D389" s="28" t="s">
        <v>102</v>
      </c>
      <c r="E389" s="28" t="s">
        <v>109</v>
      </c>
      <c r="F389" s="28" t="s">
        <v>95</v>
      </c>
      <c r="G389" s="29"/>
      <c r="H389" s="29"/>
      <c r="I389" s="28"/>
      <c r="J389" s="28" t="str">
        <f aca="false">INDEX(Turmas!$K:$K,MATCH(B389,Turmas!$M:$M,0))&amp;" | "&amp;INDEX(Turmas!$L:$L,MATCH(B389,Turmas!$M:$M,0))</f>
        <v>CICLO I  -  3º ANO | MANHÃ</v>
      </c>
    </row>
    <row r="390" customFormat="false" ht="15" hidden="false" customHeight="false" outlineLevel="0" collapsed="false">
      <c r="A390" s="28" t="str">
        <f aca="false">B390&amp;"|"&amp;C390</f>
        <v>C13101|15</v>
      </c>
      <c r="B390" s="28" t="s">
        <v>73</v>
      </c>
      <c r="C390" s="28" t="n">
        <v>15</v>
      </c>
      <c r="D390" s="28" t="s">
        <v>102</v>
      </c>
      <c r="E390" s="28" t="s">
        <v>110</v>
      </c>
      <c r="F390" s="28" t="s">
        <v>95</v>
      </c>
      <c r="G390" s="29"/>
      <c r="H390" s="29"/>
      <c r="I390" s="28"/>
      <c r="J390" s="28" t="str">
        <f aca="false">INDEX(Turmas!$K:$K,MATCH(B390,Turmas!$M:$M,0))&amp;" | "&amp;INDEX(Turmas!$L:$L,MATCH(B390,Turmas!$M:$M,0))</f>
        <v>CICLO I  -  3º ANO | MANHÃ</v>
      </c>
    </row>
    <row r="391" customFormat="false" ht="15" hidden="false" customHeight="false" outlineLevel="0" collapsed="false">
      <c r="A391" s="28" t="str">
        <f aca="false">B391&amp;"|"&amp;C391</f>
        <v>C13101|16</v>
      </c>
      <c r="B391" s="28" t="s">
        <v>73</v>
      </c>
      <c r="C391" s="28" t="n">
        <v>16</v>
      </c>
      <c r="D391" s="28" t="s">
        <v>111</v>
      </c>
      <c r="E391" s="28" t="s">
        <v>112</v>
      </c>
      <c r="F391" s="28" t="s">
        <v>95</v>
      </c>
      <c r="G391" s="29"/>
      <c r="H391" s="29"/>
      <c r="I391" s="28"/>
      <c r="J391" s="28" t="str">
        <f aca="false">INDEX(Turmas!$K:$K,MATCH(B391,Turmas!$M:$M,0))&amp;" | "&amp;INDEX(Turmas!$L:$L,MATCH(B391,Turmas!$M:$M,0))</f>
        <v>CICLO I  -  3º ANO | MANHÃ</v>
      </c>
    </row>
    <row r="392" customFormat="false" ht="15" hidden="false" customHeight="false" outlineLevel="0" collapsed="false">
      <c r="A392" s="28" t="str">
        <f aca="false">B392&amp;"|"&amp;C392</f>
        <v>C13101|17</v>
      </c>
      <c r="B392" s="28" t="s">
        <v>73</v>
      </c>
      <c r="C392" s="28" t="n">
        <v>17</v>
      </c>
      <c r="D392" s="28" t="s">
        <v>111</v>
      </c>
      <c r="E392" s="28" t="s">
        <v>113</v>
      </c>
      <c r="F392" s="28" t="s">
        <v>95</v>
      </c>
      <c r="G392" s="29"/>
      <c r="H392" s="29"/>
      <c r="I392" s="28"/>
      <c r="J392" s="28" t="str">
        <f aca="false">INDEX(Turmas!$K:$K,MATCH(B392,Turmas!$M:$M,0))&amp;" | "&amp;INDEX(Turmas!$L:$L,MATCH(B392,Turmas!$M:$M,0))</f>
        <v>CICLO I  -  3º ANO | MANHÃ</v>
      </c>
    </row>
    <row r="393" customFormat="false" ht="15" hidden="false" customHeight="false" outlineLevel="0" collapsed="false">
      <c r="A393" s="28" t="str">
        <f aca="false">B393&amp;"|"&amp;C393</f>
        <v>C13101|18</v>
      </c>
      <c r="B393" s="28" t="s">
        <v>73</v>
      </c>
      <c r="C393" s="28" t="n">
        <v>18</v>
      </c>
      <c r="D393" s="28" t="s">
        <v>111</v>
      </c>
      <c r="E393" s="28" t="s">
        <v>114</v>
      </c>
      <c r="F393" s="28" t="s">
        <v>95</v>
      </c>
      <c r="G393" s="29"/>
      <c r="H393" s="29"/>
      <c r="I393" s="28"/>
      <c r="J393" s="28" t="str">
        <f aca="false">INDEX(Turmas!$K:$K,MATCH(B393,Turmas!$M:$M,0))&amp;" | "&amp;INDEX(Turmas!$L:$L,MATCH(B393,Turmas!$M:$M,0))</f>
        <v>CICLO I  -  3º ANO | MANHÃ</v>
      </c>
    </row>
    <row r="394" customFormat="false" ht="15" hidden="false" customHeight="false" outlineLevel="0" collapsed="false">
      <c r="A394" s="28" t="str">
        <f aca="false">B394&amp;"|"&amp;C394</f>
        <v>C13101|19</v>
      </c>
      <c r="B394" s="28" t="s">
        <v>73</v>
      </c>
      <c r="C394" s="28" t="n">
        <v>19</v>
      </c>
      <c r="D394" s="28" t="s">
        <v>111</v>
      </c>
      <c r="E394" s="28" t="s">
        <v>115</v>
      </c>
      <c r="F394" s="28" t="s">
        <v>95</v>
      </c>
      <c r="G394" s="29"/>
      <c r="H394" s="29"/>
      <c r="I394" s="28"/>
      <c r="J394" s="28" t="str">
        <f aca="false">INDEX(Turmas!$K:$K,MATCH(B394,Turmas!$M:$M,0))&amp;" | "&amp;INDEX(Turmas!$L:$L,MATCH(B394,Turmas!$M:$M,0))</f>
        <v>CICLO I  -  3º ANO | MANHÃ</v>
      </c>
    </row>
    <row r="395" customFormat="false" ht="15" hidden="false" customHeight="false" outlineLevel="0" collapsed="false">
      <c r="A395" s="28" t="str">
        <f aca="false">B395&amp;"|"&amp;C395</f>
        <v>C13101|20</v>
      </c>
      <c r="B395" s="28" t="s">
        <v>73</v>
      </c>
      <c r="C395" s="28" t="n">
        <v>20</v>
      </c>
      <c r="D395" s="28" t="s">
        <v>111</v>
      </c>
      <c r="E395" s="28" t="s">
        <v>116</v>
      </c>
      <c r="F395" s="28" t="s">
        <v>95</v>
      </c>
      <c r="G395" s="29"/>
      <c r="H395" s="29"/>
      <c r="I395" s="28"/>
      <c r="J395" s="28" t="str">
        <f aca="false">INDEX(Turmas!$K:$K,MATCH(B395,Turmas!$M:$M,0))&amp;" | "&amp;INDEX(Turmas!$L:$L,MATCH(B395,Turmas!$M:$M,0))</f>
        <v>CICLO I  -  3º ANO | MANHÃ</v>
      </c>
    </row>
    <row r="396" customFormat="false" ht="15" hidden="false" customHeight="false" outlineLevel="0" collapsed="false">
      <c r="A396" s="28" t="str">
        <f aca="false">B396&amp;"|"&amp;C396</f>
        <v>C13101|21</v>
      </c>
      <c r="B396" s="28" t="s">
        <v>73</v>
      </c>
      <c r="C396" s="28" t="n">
        <v>21</v>
      </c>
      <c r="D396" s="28" t="s">
        <v>111</v>
      </c>
      <c r="E396" s="28" t="s">
        <v>117</v>
      </c>
      <c r="F396" s="28" t="s">
        <v>95</v>
      </c>
      <c r="G396" s="29"/>
      <c r="H396" s="29"/>
      <c r="I396" s="28"/>
      <c r="J396" s="28" t="str">
        <f aca="false">INDEX(Turmas!$K:$K,MATCH(B396,Turmas!$M:$M,0))&amp;" | "&amp;INDEX(Turmas!$L:$L,MATCH(B396,Turmas!$M:$M,0))</f>
        <v>CICLO I  -  3º ANO | MANHÃ</v>
      </c>
    </row>
    <row r="397" customFormat="false" ht="15" hidden="false" customHeight="false" outlineLevel="0" collapsed="false">
      <c r="A397" s="28" t="str">
        <f aca="false">B397&amp;"|"&amp;C397</f>
        <v>C13101|22</v>
      </c>
      <c r="B397" s="28" t="s">
        <v>73</v>
      </c>
      <c r="C397" s="28" t="n">
        <v>22</v>
      </c>
      <c r="D397" s="28" t="s">
        <v>111</v>
      </c>
      <c r="E397" s="28" t="s">
        <v>118</v>
      </c>
      <c r="F397" s="28" t="s">
        <v>95</v>
      </c>
      <c r="G397" s="29"/>
      <c r="H397" s="29"/>
      <c r="I397" s="28"/>
      <c r="J397" s="28" t="str">
        <f aca="false">INDEX(Turmas!$K:$K,MATCH(B397,Turmas!$M:$M,0))&amp;" | "&amp;INDEX(Turmas!$L:$L,MATCH(B397,Turmas!$M:$M,0))</f>
        <v>CICLO I  -  3º ANO | MANHÃ</v>
      </c>
    </row>
    <row r="398" customFormat="false" ht="15" hidden="false" customHeight="false" outlineLevel="0" collapsed="false">
      <c r="A398" s="28" t="str">
        <f aca="false">B398&amp;"|"&amp;C398</f>
        <v>C13101|23</v>
      </c>
      <c r="B398" s="28" t="s">
        <v>73</v>
      </c>
      <c r="C398" s="28" t="n">
        <v>23</v>
      </c>
      <c r="D398" s="28" t="s">
        <v>111</v>
      </c>
      <c r="E398" s="28" t="s">
        <v>119</v>
      </c>
      <c r="F398" s="28" t="s">
        <v>95</v>
      </c>
      <c r="G398" s="29"/>
      <c r="H398" s="29"/>
      <c r="I398" s="28"/>
      <c r="J398" s="28" t="str">
        <f aca="false">INDEX(Turmas!$K:$K,MATCH(B398,Turmas!$M:$M,0))&amp;" | "&amp;INDEX(Turmas!$L:$L,MATCH(B398,Turmas!$M:$M,0))</f>
        <v>CICLO I  -  3º ANO | MANHÃ</v>
      </c>
    </row>
    <row r="399" customFormat="false" ht="15" hidden="false" customHeight="false" outlineLevel="0" collapsed="false">
      <c r="A399" s="28" t="str">
        <f aca="false">B399&amp;"|"&amp;C399</f>
        <v>C13101|24</v>
      </c>
      <c r="B399" s="28" t="s">
        <v>73</v>
      </c>
      <c r="C399" s="28" t="n">
        <v>24</v>
      </c>
      <c r="D399" s="28" t="s">
        <v>111</v>
      </c>
      <c r="E399" s="28" t="s">
        <v>120</v>
      </c>
      <c r="F399" s="28" t="s">
        <v>95</v>
      </c>
      <c r="G399" s="29"/>
      <c r="H399" s="29"/>
      <c r="I399" s="28"/>
      <c r="J399" s="28" t="str">
        <f aca="false">INDEX(Turmas!$K:$K,MATCH(B399,Turmas!$M:$M,0))&amp;" | "&amp;INDEX(Turmas!$L:$L,MATCH(B399,Turmas!$M:$M,0))</f>
        <v>CICLO I  -  3º ANO | MANHÃ</v>
      </c>
    </row>
    <row r="400" customFormat="false" ht="15" hidden="false" customHeight="false" outlineLevel="0" collapsed="false">
      <c r="A400" s="28" t="str">
        <f aca="false">B400&amp;"|"&amp;C400</f>
        <v>C13101|25</v>
      </c>
      <c r="B400" s="28" t="s">
        <v>73</v>
      </c>
      <c r="C400" s="28" t="n">
        <v>25</v>
      </c>
      <c r="D400" s="28" t="s">
        <v>121</v>
      </c>
      <c r="E400" s="28" t="s">
        <v>122</v>
      </c>
      <c r="F400" s="28" t="s">
        <v>95</v>
      </c>
      <c r="G400" s="29"/>
      <c r="H400" s="29"/>
      <c r="I400" s="28"/>
      <c r="J400" s="28" t="str">
        <f aca="false">INDEX(Turmas!$K:$K,MATCH(B400,Turmas!$M:$M,0))&amp;" | "&amp;INDEX(Turmas!$L:$L,MATCH(B400,Turmas!$M:$M,0))</f>
        <v>CICLO I  -  3º ANO | MANHÃ</v>
      </c>
    </row>
    <row r="401" customFormat="false" ht="15" hidden="false" customHeight="false" outlineLevel="0" collapsed="false">
      <c r="A401" s="28" t="str">
        <f aca="false">B401&amp;"|"&amp;C401</f>
        <v>C13101|26</v>
      </c>
      <c r="B401" s="28" t="s">
        <v>73</v>
      </c>
      <c r="C401" s="28" t="n">
        <v>26</v>
      </c>
      <c r="D401" s="28" t="s">
        <v>121</v>
      </c>
      <c r="E401" s="28" t="s">
        <v>123</v>
      </c>
      <c r="F401" s="28" t="s">
        <v>95</v>
      </c>
      <c r="G401" s="29"/>
      <c r="H401" s="29"/>
      <c r="I401" s="28"/>
      <c r="J401" s="28" t="str">
        <f aca="false">INDEX(Turmas!$K:$K,MATCH(B401,Turmas!$M:$M,0))&amp;" | "&amp;INDEX(Turmas!$L:$L,MATCH(B401,Turmas!$M:$M,0))</f>
        <v>CICLO I  -  3º ANO | MANHÃ</v>
      </c>
    </row>
    <row r="402" customFormat="false" ht="15" hidden="false" customHeight="false" outlineLevel="0" collapsed="false">
      <c r="A402" s="28" t="str">
        <f aca="false">B402&amp;"|"&amp;C402</f>
        <v>C13101|27</v>
      </c>
      <c r="B402" s="28" t="s">
        <v>73</v>
      </c>
      <c r="C402" s="28" t="n">
        <v>27</v>
      </c>
      <c r="D402" s="28" t="s">
        <v>121</v>
      </c>
      <c r="E402" s="28" t="s">
        <v>124</v>
      </c>
      <c r="F402" s="28" t="s">
        <v>95</v>
      </c>
      <c r="G402" s="29"/>
      <c r="H402" s="29"/>
      <c r="I402" s="28"/>
      <c r="J402" s="28" t="str">
        <f aca="false">INDEX(Turmas!$K:$K,MATCH(B402,Turmas!$M:$M,0))&amp;" | "&amp;INDEX(Turmas!$L:$L,MATCH(B402,Turmas!$M:$M,0))</f>
        <v>CICLO I  -  3º ANO | MANHÃ</v>
      </c>
    </row>
    <row r="403" customFormat="false" ht="15" hidden="false" customHeight="false" outlineLevel="0" collapsed="false">
      <c r="A403" s="28" t="str">
        <f aca="false">B403&amp;"|"&amp;C403</f>
        <v>C13101|28</v>
      </c>
      <c r="B403" s="28" t="s">
        <v>73</v>
      </c>
      <c r="C403" s="28" t="n">
        <v>28</v>
      </c>
      <c r="D403" s="28" t="s">
        <v>121</v>
      </c>
      <c r="E403" s="28" t="s">
        <v>125</v>
      </c>
      <c r="F403" s="28" t="s">
        <v>95</v>
      </c>
      <c r="G403" s="29"/>
      <c r="H403" s="29"/>
      <c r="I403" s="28"/>
      <c r="J403" s="28" t="str">
        <f aca="false">INDEX(Turmas!$K:$K,MATCH(B403,Turmas!$M:$M,0))&amp;" | "&amp;INDEX(Turmas!$L:$L,MATCH(B403,Turmas!$M:$M,0))</f>
        <v>CICLO I  -  3º ANO | MANHÃ</v>
      </c>
    </row>
    <row r="404" customFormat="false" ht="15" hidden="false" customHeight="false" outlineLevel="0" collapsed="false">
      <c r="A404" s="28" t="str">
        <f aca="false">B404&amp;"|"&amp;C404</f>
        <v>C13101|29</v>
      </c>
      <c r="B404" s="28" t="s">
        <v>73</v>
      </c>
      <c r="C404" s="28" t="n">
        <v>29</v>
      </c>
      <c r="D404" s="28" t="s">
        <v>121</v>
      </c>
      <c r="E404" s="28" t="s">
        <v>126</v>
      </c>
      <c r="F404" s="28" t="s">
        <v>95</v>
      </c>
      <c r="G404" s="29"/>
      <c r="H404" s="29"/>
      <c r="I404" s="28"/>
      <c r="J404" s="28" t="str">
        <f aca="false">INDEX(Turmas!$K:$K,MATCH(B404,Turmas!$M:$M,0))&amp;" | "&amp;INDEX(Turmas!$L:$L,MATCH(B404,Turmas!$M:$M,0))</f>
        <v>CICLO I  -  3º ANO | MANHÃ</v>
      </c>
    </row>
    <row r="405" customFormat="false" ht="15" hidden="false" customHeight="false" outlineLevel="0" collapsed="false">
      <c r="A405" s="28" t="str">
        <f aca="false">B405&amp;"|"&amp;C405</f>
        <v>C13101|30</v>
      </c>
      <c r="B405" s="28" t="s">
        <v>73</v>
      </c>
      <c r="C405" s="28" t="n">
        <v>30</v>
      </c>
      <c r="D405" s="28" t="s">
        <v>127</v>
      </c>
      <c r="E405" s="28" t="s">
        <v>128</v>
      </c>
      <c r="F405" s="28" t="s">
        <v>95</v>
      </c>
      <c r="G405" s="29"/>
      <c r="H405" s="29"/>
      <c r="I405" s="28"/>
      <c r="J405" s="28" t="str">
        <f aca="false">INDEX(Turmas!$K:$K,MATCH(B405,Turmas!$M:$M,0))&amp;" | "&amp;INDEX(Turmas!$L:$L,MATCH(B405,Turmas!$M:$M,0))</f>
        <v>CICLO I  -  3º ANO | MANHÃ</v>
      </c>
    </row>
    <row r="406" customFormat="false" ht="15" hidden="false" customHeight="false" outlineLevel="0" collapsed="false">
      <c r="A406" s="28" t="str">
        <f aca="false">B406&amp;"|"&amp;C406</f>
        <v>C13101|31</v>
      </c>
      <c r="B406" s="28" t="s">
        <v>73</v>
      </c>
      <c r="C406" s="28" t="n">
        <v>31</v>
      </c>
      <c r="D406" s="28" t="s">
        <v>127</v>
      </c>
      <c r="E406" s="28" t="s">
        <v>108</v>
      </c>
      <c r="F406" s="28" t="s">
        <v>95</v>
      </c>
      <c r="G406" s="29"/>
      <c r="H406" s="29"/>
      <c r="I406" s="28"/>
      <c r="J406" s="28" t="str">
        <f aca="false">INDEX(Turmas!$K:$K,MATCH(B406,Turmas!$M:$M,0))&amp;" | "&amp;INDEX(Turmas!$L:$L,MATCH(B406,Turmas!$M:$M,0))</f>
        <v>CICLO I  -  3º ANO | MANHÃ</v>
      </c>
    </row>
    <row r="407" customFormat="false" ht="15" hidden="false" customHeight="false" outlineLevel="0" collapsed="false">
      <c r="A407" s="28" t="str">
        <f aca="false">B407&amp;"|"&amp;C407</f>
        <v>C13101|32</v>
      </c>
      <c r="B407" s="28" t="s">
        <v>73</v>
      </c>
      <c r="C407" s="28" t="n">
        <v>32</v>
      </c>
      <c r="D407" s="28" t="s">
        <v>127</v>
      </c>
      <c r="E407" s="28" t="s">
        <v>129</v>
      </c>
      <c r="F407" s="28" t="s">
        <v>95</v>
      </c>
      <c r="G407" s="29"/>
      <c r="H407" s="29"/>
      <c r="I407" s="28"/>
      <c r="J407" s="28" t="str">
        <f aca="false">INDEX(Turmas!$K:$K,MATCH(B407,Turmas!$M:$M,0))&amp;" | "&amp;INDEX(Turmas!$L:$L,MATCH(B407,Turmas!$M:$M,0))</f>
        <v>CICLO I  -  3º ANO | MANHÃ</v>
      </c>
    </row>
    <row r="408" customFormat="false" ht="15" hidden="false" customHeight="false" outlineLevel="0" collapsed="false">
      <c r="A408" s="28" t="str">
        <f aca="false">B408&amp;"|"&amp;C408</f>
        <v>C13101|33</v>
      </c>
      <c r="B408" s="28" t="s">
        <v>73</v>
      </c>
      <c r="C408" s="28" t="n">
        <v>33</v>
      </c>
      <c r="D408" s="28" t="s">
        <v>127</v>
      </c>
      <c r="E408" s="28" t="s">
        <v>130</v>
      </c>
      <c r="F408" s="28" t="s">
        <v>95</v>
      </c>
      <c r="G408" s="29"/>
      <c r="H408" s="29"/>
      <c r="I408" s="28"/>
      <c r="J408" s="28" t="str">
        <f aca="false">INDEX(Turmas!$K:$K,MATCH(B408,Turmas!$M:$M,0))&amp;" | "&amp;INDEX(Turmas!$L:$L,MATCH(B408,Turmas!$M:$M,0))</f>
        <v>CICLO I  -  3º ANO | MANHÃ</v>
      </c>
    </row>
    <row r="409" customFormat="false" ht="15" hidden="false" customHeight="false" outlineLevel="0" collapsed="false">
      <c r="A409" s="28" t="str">
        <f aca="false">B409&amp;"|"&amp;C409</f>
        <v>C13101|34</v>
      </c>
      <c r="B409" s="28" t="s">
        <v>73</v>
      </c>
      <c r="C409" s="28" t="n">
        <v>34</v>
      </c>
      <c r="D409" s="28" t="s">
        <v>127</v>
      </c>
      <c r="E409" s="28" t="s">
        <v>131</v>
      </c>
      <c r="F409" s="28" t="s">
        <v>95</v>
      </c>
      <c r="G409" s="29"/>
      <c r="H409" s="29"/>
      <c r="I409" s="28"/>
      <c r="J409" s="28" t="str">
        <f aca="false">INDEX(Turmas!$K:$K,MATCH(B409,Turmas!$M:$M,0))&amp;" | "&amp;INDEX(Turmas!$L:$L,MATCH(B409,Turmas!$M:$M,0))</f>
        <v>CICLO I  -  3º ANO | MANHÃ</v>
      </c>
    </row>
    <row r="410" customFormat="false" ht="15" hidden="false" customHeight="false" outlineLevel="0" collapsed="false">
      <c r="A410" s="28" t="str">
        <f aca="false">B410&amp;"|"&amp;C410</f>
        <v>C12102|1</v>
      </c>
      <c r="B410" s="28" t="s">
        <v>75</v>
      </c>
      <c r="C410" s="28" t="n">
        <v>1</v>
      </c>
      <c r="D410" s="28" t="s">
        <v>93</v>
      </c>
      <c r="E410" s="28" t="s">
        <v>94</v>
      </c>
      <c r="F410" s="28" t="s">
        <v>95</v>
      </c>
      <c r="G410" s="29"/>
      <c r="H410" s="29"/>
      <c r="I410" s="28"/>
      <c r="J410" s="28" t="str">
        <f aca="false">INDEX(Turmas!$K:$K,MATCH(B410,Turmas!$M:$M,0))&amp;" | "&amp;INDEX(Turmas!$L:$L,MATCH(B410,Turmas!$M:$M,0))</f>
        <v>CICLO I  -  2º ANO | MANHÃ</v>
      </c>
    </row>
    <row r="411" customFormat="false" ht="15" hidden="false" customHeight="false" outlineLevel="0" collapsed="false">
      <c r="A411" s="28" t="str">
        <f aca="false">B411&amp;"|"&amp;C411</f>
        <v>C12102|2</v>
      </c>
      <c r="B411" s="28" t="s">
        <v>75</v>
      </c>
      <c r="C411" s="28" t="n">
        <v>2</v>
      </c>
      <c r="D411" s="28" t="s">
        <v>93</v>
      </c>
      <c r="E411" s="28" t="s">
        <v>96</v>
      </c>
      <c r="F411" s="28" t="s">
        <v>95</v>
      </c>
      <c r="G411" s="29"/>
      <c r="H411" s="29"/>
      <c r="I411" s="28"/>
      <c r="J411" s="28" t="str">
        <f aca="false">INDEX(Turmas!$K:$K,MATCH(B411,Turmas!$M:$M,0))&amp;" | "&amp;INDEX(Turmas!$L:$L,MATCH(B411,Turmas!$M:$M,0))</f>
        <v>CICLO I  -  2º ANO | MANHÃ</v>
      </c>
    </row>
    <row r="412" customFormat="false" ht="15" hidden="false" customHeight="false" outlineLevel="0" collapsed="false">
      <c r="A412" s="28" t="str">
        <f aca="false">B412&amp;"|"&amp;C412</f>
        <v>C12102|3</v>
      </c>
      <c r="B412" s="28" t="s">
        <v>75</v>
      </c>
      <c r="C412" s="28" t="n">
        <v>3</v>
      </c>
      <c r="D412" s="28" t="s">
        <v>93</v>
      </c>
      <c r="E412" s="28" t="s">
        <v>97</v>
      </c>
      <c r="F412" s="28" t="s">
        <v>95</v>
      </c>
      <c r="G412" s="29"/>
      <c r="H412" s="29"/>
      <c r="I412" s="28"/>
      <c r="J412" s="28" t="str">
        <f aca="false">INDEX(Turmas!$K:$K,MATCH(B412,Turmas!$M:$M,0))&amp;" | "&amp;INDEX(Turmas!$L:$L,MATCH(B412,Turmas!$M:$M,0))</f>
        <v>CICLO I  -  2º ANO | MANHÃ</v>
      </c>
    </row>
    <row r="413" customFormat="false" ht="15" hidden="false" customHeight="false" outlineLevel="0" collapsed="false">
      <c r="A413" s="28" t="str">
        <f aca="false">B413&amp;"|"&amp;C413</f>
        <v>C12102|4</v>
      </c>
      <c r="B413" s="28" t="s">
        <v>75</v>
      </c>
      <c r="C413" s="28" t="n">
        <v>4</v>
      </c>
      <c r="D413" s="28" t="s">
        <v>93</v>
      </c>
      <c r="E413" s="28" t="s">
        <v>98</v>
      </c>
      <c r="F413" s="28" t="s">
        <v>95</v>
      </c>
      <c r="G413" s="29"/>
      <c r="H413" s="29"/>
      <c r="I413" s="28"/>
      <c r="J413" s="28" t="str">
        <f aca="false">INDEX(Turmas!$K:$K,MATCH(B413,Turmas!$M:$M,0))&amp;" | "&amp;INDEX(Turmas!$L:$L,MATCH(B413,Turmas!$M:$M,0))</f>
        <v>CICLO I  -  2º ANO | MANHÃ</v>
      </c>
    </row>
    <row r="414" customFormat="false" ht="15" hidden="false" customHeight="false" outlineLevel="0" collapsed="false">
      <c r="A414" s="28" t="str">
        <f aca="false">B414&amp;"|"&amp;C414</f>
        <v>C12102|5</v>
      </c>
      <c r="B414" s="28" t="s">
        <v>75</v>
      </c>
      <c r="C414" s="28" t="n">
        <v>5</v>
      </c>
      <c r="D414" s="28" t="s">
        <v>93</v>
      </c>
      <c r="E414" s="28" t="s">
        <v>99</v>
      </c>
      <c r="F414" s="28" t="s">
        <v>95</v>
      </c>
      <c r="G414" s="29"/>
      <c r="H414" s="29"/>
      <c r="I414" s="28"/>
      <c r="J414" s="28" t="str">
        <f aca="false">INDEX(Turmas!$K:$K,MATCH(B414,Turmas!$M:$M,0))&amp;" | "&amp;INDEX(Turmas!$L:$L,MATCH(B414,Turmas!$M:$M,0))</f>
        <v>CICLO I  -  2º ANO | MANHÃ</v>
      </c>
    </row>
    <row r="415" customFormat="false" ht="15" hidden="false" customHeight="false" outlineLevel="0" collapsed="false">
      <c r="A415" s="28" t="str">
        <f aca="false">B415&amp;"|"&amp;C415</f>
        <v>C12102|6</v>
      </c>
      <c r="B415" s="28" t="s">
        <v>75</v>
      </c>
      <c r="C415" s="28" t="n">
        <v>6</v>
      </c>
      <c r="D415" s="28" t="s">
        <v>93</v>
      </c>
      <c r="E415" s="28" t="s">
        <v>100</v>
      </c>
      <c r="F415" s="28" t="s">
        <v>95</v>
      </c>
      <c r="G415" s="29"/>
      <c r="H415" s="29"/>
      <c r="I415" s="28"/>
      <c r="J415" s="28" t="str">
        <f aca="false">INDEX(Turmas!$K:$K,MATCH(B415,Turmas!$M:$M,0))&amp;" | "&amp;INDEX(Turmas!$L:$L,MATCH(B415,Turmas!$M:$M,0))</f>
        <v>CICLO I  -  2º ANO | MANHÃ</v>
      </c>
    </row>
    <row r="416" customFormat="false" ht="15" hidden="false" customHeight="false" outlineLevel="0" collapsed="false">
      <c r="A416" s="28" t="str">
        <f aca="false">B416&amp;"|"&amp;C416</f>
        <v>C12102|7</v>
      </c>
      <c r="B416" s="28" t="s">
        <v>75</v>
      </c>
      <c r="C416" s="28" t="n">
        <v>7</v>
      </c>
      <c r="D416" s="28" t="s">
        <v>93</v>
      </c>
      <c r="E416" s="28" t="s">
        <v>101</v>
      </c>
      <c r="F416" s="28" t="s">
        <v>95</v>
      </c>
      <c r="G416" s="29"/>
      <c r="H416" s="29"/>
      <c r="I416" s="28"/>
      <c r="J416" s="28" t="str">
        <f aca="false">INDEX(Turmas!$K:$K,MATCH(B416,Turmas!$M:$M,0))&amp;" | "&amp;INDEX(Turmas!$L:$L,MATCH(B416,Turmas!$M:$M,0))</f>
        <v>CICLO I  -  2º ANO | MANHÃ</v>
      </c>
    </row>
    <row r="417" customFormat="false" ht="15" hidden="false" customHeight="false" outlineLevel="0" collapsed="false">
      <c r="A417" s="28" t="str">
        <f aca="false">B417&amp;"|"&amp;C417</f>
        <v>C12102|8</v>
      </c>
      <c r="B417" s="28" t="s">
        <v>75</v>
      </c>
      <c r="C417" s="28" t="n">
        <v>8</v>
      </c>
      <c r="D417" s="28" t="s">
        <v>102</v>
      </c>
      <c r="E417" s="28" t="s">
        <v>103</v>
      </c>
      <c r="F417" s="28" t="s">
        <v>95</v>
      </c>
      <c r="G417" s="29"/>
      <c r="H417" s="29"/>
      <c r="I417" s="28"/>
      <c r="J417" s="28" t="str">
        <f aca="false">INDEX(Turmas!$K:$K,MATCH(B417,Turmas!$M:$M,0))&amp;" | "&amp;INDEX(Turmas!$L:$L,MATCH(B417,Turmas!$M:$M,0))</f>
        <v>CICLO I  -  2º ANO | MANHÃ</v>
      </c>
    </row>
    <row r="418" customFormat="false" ht="15" hidden="false" customHeight="false" outlineLevel="0" collapsed="false">
      <c r="A418" s="28" t="str">
        <f aca="false">B418&amp;"|"&amp;C418</f>
        <v>C12102|9</v>
      </c>
      <c r="B418" s="28" t="s">
        <v>75</v>
      </c>
      <c r="C418" s="28" t="n">
        <v>9</v>
      </c>
      <c r="D418" s="28" t="s">
        <v>102</v>
      </c>
      <c r="E418" s="28" t="s">
        <v>104</v>
      </c>
      <c r="F418" s="28" t="s">
        <v>95</v>
      </c>
      <c r="G418" s="29"/>
      <c r="H418" s="29"/>
      <c r="I418" s="28"/>
      <c r="J418" s="28" t="str">
        <f aca="false">INDEX(Turmas!$K:$K,MATCH(B418,Turmas!$M:$M,0))&amp;" | "&amp;INDEX(Turmas!$L:$L,MATCH(B418,Turmas!$M:$M,0))</f>
        <v>CICLO I  -  2º ANO | MANHÃ</v>
      </c>
    </row>
    <row r="419" customFormat="false" ht="15" hidden="false" customHeight="false" outlineLevel="0" collapsed="false">
      <c r="A419" s="28" t="str">
        <f aca="false">B419&amp;"|"&amp;C419</f>
        <v>C12102|10</v>
      </c>
      <c r="B419" s="28" t="s">
        <v>75</v>
      </c>
      <c r="C419" s="28" t="n">
        <v>10</v>
      </c>
      <c r="D419" s="28" t="s">
        <v>102</v>
      </c>
      <c r="E419" s="28" t="s">
        <v>105</v>
      </c>
      <c r="F419" s="28" t="s">
        <v>95</v>
      </c>
      <c r="G419" s="29"/>
      <c r="H419" s="29"/>
      <c r="I419" s="28"/>
      <c r="J419" s="28" t="str">
        <f aca="false">INDEX(Turmas!$K:$K,MATCH(B419,Turmas!$M:$M,0))&amp;" | "&amp;INDEX(Turmas!$L:$L,MATCH(B419,Turmas!$M:$M,0))</f>
        <v>CICLO I  -  2º ANO | MANHÃ</v>
      </c>
    </row>
    <row r="420" customFormat="false" ht="15" hidden="false" customHeight="false" outlineLevel="0" collapsed="false">
      <c r="A420" s="28" t="str">
        <f aca="false">B420&amp;"|"&amp;C420</f>
        <v>C12102|11</v>
      </c>
      <c r="B420" s="28" t="s">
        <v>75</v>
      </c>
      <c r="C420" s="28" t="n">
        <v>11</v>
      </c>
      <c r="D420" s="28" t="s">
        <v>102</v>
      </c>
      <c r="E420" s="28" t="s">
        <v>106</v>
      </c>
      <c r="F420" s="28" t="s">
        <v>95</v>
      </c>
      <c r="G420" s="29"/>
      <c r="H420" s="29"/>
      <c r="I420" s="28"/>
      <c r="J420" s="28" t="str">
        <f aca="false">INDEX(Turmas!$K:$K,MATCH(B420,Turmas!$M:$M,0))&amp;" | "&amp;INDEX(Turmas!$L:$L,MATCH(B420,Turmas!$M:$M,0))</f>
        <v>CICLO I  -  2º ANO | MANHÃ</v>
      </c>
    </row>
    <row r="421" customFormat="false" ht="15" hidden="false" customHeight="false" outlineLevel="0" collapsed="false">
      <c r="A421" s="28" t="str">
        <f aca="false">B421&amp;"|"&amp;C421</f>
        <v>C12102|12</v>
      </c>
      <c r="B421" s="28" t="s">
        <v>75</v>
      </c>
      <c r="C421" s="28" t="n">
        <v>12</v>
      </c>
      <c r="D421" s="28" t="s">
        <v>102</v>
      </c>
      <c r="E421" s="28" t="s">
        <v>107</v>
      </c>
      <c r="F421" s="28" t="s">
        <v>95</v>
      </c>
      <c r="G421" s="29"/>
      <c r="H421" s="29"/>
      <c r="I421" s="28"/>
      <c r="J421" s="28" t="str">
        <f aca="false">INDEX(Turmas!$K:$K,MATCH(B421,Turmas!$M:$M,0))&amp;" | "&amp;INDEX(Turmas!$L:$L,MATCH(B421,Turmas!$M:$M,0))</f>
        <v>CICLO I  -  2º ANO | MANHÃ</v>
      </c>
    </row>
    <row r="422" customFormat="false" ht="15" hidden="false" customHeight="false" outlineLevel="0" collapsed="false">
      <c r="A422" s="28" t="str">
        <f aca="false">B422&amp;"|"&amp;C422</f>
        <v>C12102|13</v>
      </c>
      <c r="B422" s="28" t="s">
        <v>75</v>
      </c>
      <c r="C422" s="28" t="n">
        <v>13</v>
      </c>
      <c r="D422" s="28" t="s">
        <v>102</v>
      </c>
      <c r="E422" s="28" t="s">
        <v>108</v>
      </c>
      <c r="F422" s="28" t="s">
        <v>95</v>
      </c>
      <c r="G422" s="29"/>
      <c r="H422" s="29"/>
      <c r="I422" s="28"/>
      <c r="J422" s="28" t="str">
        <f aca="false">INDEX(Turmas!$K:$K,MATCH(B422,Turmas!$M:$M,0))&amp;" | "&amp;INDEX(Turmas!$L:$L,MATCH(B422,Turmas!$M:$M,0))</f>
        <v>CICLO I  -  2º ANO | MANHÃ</v>
      </c>
    </row>
    <row r="423" customFormat="false" ht="15" hidden="false" customHeight="false" outlineLevel="0" collapsed="false">
      <c r="A423" s="28" t="str">
        <f aca="false">B423&amp;"|"&amp;C423</f>
        <v>C12102|14</v>
      </c>
      <c r="B423" s="28" t="s">
        <v>75</v>
      </c>
      <c r="C423" s="28" t="n">
        <v>14</v>
      </c>
      <c r="D423" s="28" t="s">
        <v>102</v>
      </c>
      <c r="E423" s="28" t="s">
        <v>109</v>
      </c>
      <c r="F423" s="28" t="s">
        <v>95</v>
      </c>
      <c r="G423" s="29"/>
      <c r="H423" s="29"/>
      <c r="I423" s="28"/>
      <c r="J423" s="28" t="str">
        <f aca="false">INDEX(Turmas!$K:$K,MATCH(B423,Turmas!$M:$M,0))&amp;" | "&amp;INDEX(Turmas!$L:$L,MATCH(B423,Turmas!$M:$M,0))</f>
        <v>CICLO I  -  2º ANO | MANHÃ</v>
      </c>
    </row>
    <row r="424" customFormat="false" ht="15" hidden="false" customHeight="false" outlineLevel="0" collapsed="false">
      <c r="A424" s="28" t="str">
        <f aca="false">B424&amp;"|"&amp;C424</f>
        <v>C12102|15</v>
      </c>
      <c r="B424" s="28" t="s">
        <v>75</v>
      </c>
      <c r="C424" s="28" t="n">
        <v>15</v>
      </c>
      <c r="D424" s="28" t="s">
        <v>102</v>
      </c>
      <c r="E424" s="28" t="s">
        <v>110</v>
      </c>
      <c r="F424" s="28" t="s">
        <v>95</v>
      </c>
      <c r="G424" s="29"/>
      <c r="H424" s="29"/>
      <c r="I424" s="28"/>
      <c r="J424" s="28" t="str">
        <f aca="false">INDEX(Turmas!$K:$K,MATCH(B424,Turmas!$M:$M,0))&amp;" | "&amp;INDEX(Turmas!$L:$L,MATCH(B424,Turmas!$M:$M,0))</f>
        <v>CICLO I  -  2º ANO | MANHÃ</v>
      </c>
    </row>
    <row r="425" customFormat="false" ht="15" hidden="false" customHeight="false" outlineLevel="0" collapsed="false">
      <c r="A425" s="28" t="str">
        <f aca="false">B425&amp;"|"&amp;C425</f>
        <v>C12102|16</v>
      </c>
      <c r="B425" s="28" t="s">
        <v>75</v>
      </c>
      <c r="C425" s="28" t="n">
        <v>16</v>
      </c>
      <c r="D425" s="28" t="s">
        <v>111</v>
      </c>
      <c r="E425" s="28" t="s">
        <v>112</v>
      </c>
      <c r="F425" s="28" t="s">
        <v>95</v>
      </c>
      <c r="G425" s="29"/>
      <c r="H425" s="29"/>
      <c r="I425" s="28"/>
      <c r="J425" s="28" t="str">
        <f aca="false">INDEX(Turmas!$K:$K,MATCH(B425,Turmas!$M:$M,0))&amp;" | "&amp;INDEX(Turmas!$L:$L,MATCH(B425,Turmas!$M:$M,0))</f>
        <v>CICLO I  -  2º ANO | MANHÃ</v>
      </c>
    </row>
    <row r="426" customFormat="false" ht="15" hidden="false" customHeight="false" outlineLevel="0" collapsed="false">
      <c r="A426" s="28" t="str">
        <f aca="false">B426&amp;"|"&amp;C426</f>
        <v>C12102|17</v>
      </c>
      <c r="B426" s="28" t="s">
        <v>75</v>
      </c>
      <c r="C426" s="28" t="n">
        <v>17</v>
      </c>
      <c r="D426" s="28" t="s">
        <v>111</v>
      </c>
      <c r="E426" s="28" t="s">
        <v>113</v>
      </c>
      <c r="F426" s="28" t="s">
        <v>95</v>
      </c>
      <c r="G426" s="29"/>
      <c r="H426" s="29"/>
      <c r="I426" s="28"/>
      <c r="J426" s="28" t="str">
        <f aca="false">INDEX(Turmas!$K:$K,MATCH(B426,Turmas!$M:$M,0))&amp;" | "&amp;INDEX(Turmas!$L:$L,MATCH(B426,Turmas!$M:$M,0))</f>
        <v>CICLO I  -  2º ANO | MANHÃ</v>
      </c>
    </row>
    <row r="427" customFormat="false" ht="15" hidden="false" customHeight="false" outlineLevel="0" collapsed="false">
      <c r="A427" s="28" t="str">
        <f aca="false">B427&amp;"|"&amp;C427</f>
        <v>C12102|18</v>
      </c>
      <c r="B427" s="28" t="s">
        <v>75</v>
      </c>
      <c r="C427" s="28" t="n">
        <v>18</v>
      </c>
      <c r="D427" s="28" t="s">
        <v>111</v>
      </c>
      <c r="E427" s="28" t="s">
        <v>114</v>
      </c>
      <c r="F427" s="28" t="s">
        <v>95</v>
      </c>
      <c r="G427" s="29"/>
      <c r="H427" s="29"/>
      <c r="I427" s="28"/>
      <c r="J427" s="28" t="str">
        <f aca="false">INDEX(Turmas!$K:$K,MATCH(B427,Turmas!$M:$M,0))&amp;" | "&amp;INDEX(Turmas!$L:$L,MATCH(B427,Turmas!$M:$M,0))</f>
        <v>CICLO I  -  2º ANO | MANHÃ</v>
      </c>
    </row>
    <row r="428" customFormat="false" ht="15" hidden="false" customHeight="false" outlineLevel="0" collapsed="false">
      <c r="A428" s="28" t="str">
        <f aca="false">B428&amp;"|"&amp;C428</f>
        <v>C12102|19</v>
      </c>
      <c r="B428" s="28" t="s">
        <v>75</v>
      </c>
      <c r="C428" s="28" t="n">
        <v>19</v>
      </c>
      <c r="D428" s="28" t="s">
        <v>111</v>
      </c>
      <c r="E428" s="28" t="s">
        <v>115</v>
      </c>
      <c r="F428" s="28" t="s">
        <v>95</v>
      </c>
      <c r="G428" s="29"/>
      <c r="H428" s="29"/>
      <c r="I428" s="28"/>
      <c r="J428" s="28" t="str">
        <f aca="false">INDEX(Turmas!$K:$K,MATCH(B428,Turmas!$M:$M,0))&amp;" | "&amp;INDEX(Turmas!$L:$L,MATCH(B428,Turmas!$M:$M,0))</f>
        <v>CICLO I  -  2º ANO | MANHÃ</v>
      </c>
    </row>
    <row r="429" customFormat="false" ht="15" hidden="false" customHeight="false" outlineLevel="0" collapsed="false">
      <c r="A429" s="28" t="str">
        <f aca="false">B429&amp;"|"&amp;C429</f>
        <v>C12102|20</v>
      </c>
      <c r="B429" s="28" t="s">
        <v>75</v>
      </c>
      <c r="C429" s="28" t="n">
        <v>20</v>
      </c>
      <c r="D429" s="28" t="s">
        <v>111</v>
      </c>
      <c r="E429" s="28" t="s">
        <v>116</v>
      </c>
      <c r="F429" s="28" t="s">
        <v>95</v>
      </c>
      <c r="G429" s="29"/>
      <c r="H429" s="29"/>
      <c r="I429" s="28"/>
      <c r="J429" s="28" t="str">
        <f aca="false">INDEX(Turmas!$K:$K,MATCH(B429,Turmas!$M:$M,0))&amp;" | "&amp;INDEX(Turmas!$L:$L,MATCH(B429,Turmas!$M:$M,0))</f>
        <v>CICLO I  -  2º ANO | MANHÃ</v>
      </c>
    </row>
    <row r="430" customFormat="false" ht="15" hidden="false" customHeight="false" outlineLevel="0" collapsed="false">
      <c r="A430" s="28" t="str">
        <f aca="false">B430&amp;"|"&amp;C430</f>
        <v>C12102|21</v>
      </c>
      <c r="B430" s="28" t="s">
        <v>75</v>
      </c>
      <c r="C430" s="28" t="n">
        <v>21</v>
      </c>
      <c r="D430" s="28" t="s">
        <v>111</v>
      </c>
      <c r="E430" s="28" t="s">
        <v>117</v>
      </c>
      <c r="F430" s="28" t="s">
        <v>95</v>
      </c>
      <c r="G430" s="29"/>
      <c r="H430" s="29"/>
      <c r="I430" s="28"/>
      <c r="J430" s="28" t="str">
        <f aca="false">INDEX(Turmas!$K:$K,MATCH(B430,Turmas!$M:$M,0))&amp;" | "&amp;INDEX(Turmas!$L:$L,MATCH(B430,Turmas!$M:$M,0))</f>
        <v>CICLO I  -  2º ANO | MANHÃ</v>
      </c>
    </row>
    <row r="431" customFormat="false" ht="15" hidden="false" customHeight="false" outlineLevel="0" collapsed="false">
      <c r="A431" s="28" t="str">
        <f aca="false">B431&amp;"|"&amp;C431</f>
        <v>C12102|22</v>
      </c>
      <c r="B431" s="28" t="s">
        <v>75</v>
      </c>
      <c r="C431" s="28" t="n">
        <v>22</v>
      </c>
      <c r="D431" s="28" t="s">
        <v>111</v>
      </c>
      <c r="E431" s="28" t="s">
        <v>118</v>
      </c>
      <c r="F431" s="28" t="s">
        <v>95</v>
      </c>
      <c r="G431" s="29"/>
      <c r="H431" s="29"/>
      <c r="I431" s="28"/>
      <c r="J431" s="28" t="str">
        <f aca="false">INDEX(Turmas!$K:$K,MATCH(B431,Turmas!$M:$M,0))&amp;" | "&amp;INDEX(Turmas!$L:$L,MATCH(B431,Turmas!$M:$M,0))</f>
        <v>CICLO I  -  2º ANO | MANHÃ</v>
      </c>
    </row>
    <row r="432" customFormat="false" ht="15" hidden="false" customHeight="false" outlineLevel="0" collapsed="false">
      <c r="A432" s="28" t="str">
        <f aca="false">B432&amp;"|"&amp;C432</f>
        <v>C12102|23</v>
      </c>
      <c r="B432" s="28" t="s">
        <v>75</v>
      </c>
      <c r="C432" s="28" t="n">
        <v>23</v>
      </c>
      <c r="D432" s="28" t="s">
        <v>111</v>
      </c>
      <c r="E432" s="28" t="s">
        <v>119</v>
      </c>
      <c r="F432" s="28" t="s">
        <v>95</v>
      </c>
      <c r="G432" s="29"/>
      <c r="H432" s="29"/>
      <c r="I432" s="28"/>
      <c r="J432" s="28" t="str">
        <f aca="false">INDEX(Turmas!$K:$K,MATCH(B432,Turmas!$M:$M,0))&amp;" | "&amp;INDEX(Turmas!$L:$L,MATCH(B432,Turmas!$M:$M,0))</f>
        <v>CICLO I  -  2º ANO | MANHÃ</v>
      </c>
    </row>
    <row r="433" customFormat="false" ht="15" hidden="false" customHeight="false" outlineLevel="0" collapsed="false">
      <c r="A433" s="28" t="str">
        <f aca="false">B433&amp;"|"&amp;C433</f>
        <v>C12102|24</v>
      </c>
      <c r="B433" s="28" t="s">
        <v>75</v>
      </c>
      <c r="C433" s="28" t="n">
        <v>24</v>
      </c>
      <c r="D433" s="28" t="s">
        <v>111</v>
      </c>
      <c r="E433" s="28" t="s">
        <v>120</v>
      </c>
      <c r="F433" s="28" t="s">
        <v>95</v>
      </c>
      <c r="G433" s="29"/>
      <c r="H433" s="29"/>
      <c r="I433" s="28"/>
      <c r="J433" s="28" t="str">
        <f aca="false">INDEX(Turmas!$K:$K,MATCH(B433,Turmas!$M:$M,0))&amp;" | "&amp;INDEX(Turmas!$L:$L,MATCH(B433,Turmas!$M:$M,0))</f>
        <v>CICLO I  -  2º ANO | MANHÃ</v>
      </c>
    </row>
    <row r="434" customFormat="false" ht="15" hidden="false" customHeight="false" outlineLevel="0" collapsed="false">
      <c r="A434" s="28" t="str">
        <f aca="false">B434&amp;"|"&amp;C434</f>
        <v>C12102|25</v>
      </c>
      <c r="B434" s="28" t="s">
        <v>75</v>
      </c>
      <c r="C434" s="28" t="n">
        <v>25</v>
      </c>
      <c r="D434" s="28" t="s">
        <v>121</v>
      </c>
      <c r="E434" s="28" t="s">
        <v>122</v>
      </c>
      <c r="F434" s="28" t="s">
        <v>95</v>
      </c>
      <c r="G434" s="29"/>
      <c r="H434" s="29"/>
      <c r="I434" s="28"/>
      <c r="J434" s="28" t="str">
        <f aca="false">INDEX(Turmas!$K:$K,MATCH(B434,Turmas!$M:$M,0))&amp;" | "&amp;INDEX(Turmas!$L:$L,MATCH(B434,Turmas!$M:$M,0))</f>
        <v>CICLO I  -  2º ANO | MANHÃ</v>
      </c>
    </row>
    <row r="435" customFormat="false" ht="15" hidden="false" customHeight="false" outlineLevel="0" collapsed="false">
      <c r="A435" s="28" t="str">
        <f aca="false">B435&amp;"|"&amp;C435</f>
        <v>C12102|26</v>
      </c>
      <c r="B435" s="28" t="s">
        <v>75</v>
      </c>
      <c r="C435" s="28" t="n">
        <v>26</v>
      </c>
      <c r="D435" s="28" t="s">
        <v>121</v>
      </c>
      <c r="E435" s="28" t="s">
        <v>123</v>
      </c>
      <c r="F435" s="28" t="s">
        <v>95</v>
      </c>
      <c r="G435" s="29"/>
      <c r="H435" s="29"/>
      <c r="I435" s="28"/>
      <c r="J435" s="28" t="str">
        <f aca="false">INDEX(Turmas!$K:$K,MATCH(B435,Turmas!$M:$M,0))&amp;" | "&amp;INDEX(Turmas!$L:$L,MATCH(B435,Turmas!$M:$M,0))</f>
        <v>CICLO I  -  2º ANO | MANHÃ</v>
      </c>
    </row>
    <row r="436" customFormat="false" ht="15" hidden="false" customHeight="false" outlineLevel="0" collapsed="false">
      <c r="A436" s="28" t="str">
        <f aca="false">B436&amp;"|"&amp;C436</f>
        <v>C12102|27</v>
      </c>
      <c r="B436" s="28" t="s">
        <v>75</v>
      </c>
      <c r="C436" s="28" t="n">
        <v>27</v>
      </c>
      <c r="D436" s="28" t="s">
        <v>121</v>
      </c>
      <c r="E436" s="28" t="s">
        <v>124</v>
      </c>
      <c r="F436" s="28" t="s">
        <v>95</v>
      </c>
      <c r="G436" s="29"/>
      <c r="H436" s="29"/>
      <c r="I436" s="28"/>
      <c r="J436" s="28" t="str">
        <f aca="false">INDEX(Turmas!$K:$K,MATCH(B436,Turmas!$M:$M,0))&amp;" | "&amp;INDEX(Turmas!$L:$L,MATCH(B436,Turmas!$M:$M,0))</f>
        <v>CICLO I  -  2º ANO | MANHÃ</v>
      </c>
    </row>
    <row r="437" customFormat="false" ht="15" hidden="false" customHeight="false" outlineLevel="0" collapsed="false">
      <c r="A437" s="28" t="str">
        <f aca="false">B437&amp;"|"&amp;C437</f>
        <v>C12102|28</v>
      </c>
      <c r="B437" s="28" t="s">
        <v>75</v>
      </c>
      <c r="C437" s="28" t="n">
        <v>28</v>
      </c>
      <c r="D437" s="28" t="s">
        <v>121</v>
      </c>
      <c r="E437" s="28" t="s">
        <v>125</v>
      </c>
      <c r="F437" s="28" t="s">
        <v>95</v>
      </c>
      <c r="G437" s="29"/>
      <c r="H437" s="29"/>
      <c r="I437" s="28"/>
      <c r="J437" s="28" t="str">
        <f aca="false">INDEX(Turmas!$K:$K,MATCH(B437,Turmas!$M:$M,0))&amp;" | "&amp;INDEX(Turmas!$L:$L,MATCH(B437,Turmas!$M:$M,0))</f>
        <v>CICLO I  -  2º ANO | MANHÃ</v>
      </c>
    </row>
    <row r="438" customFormat="false" ht="15" hidden="false" customHeight="false" outlineLevel="0" collapsed="false">
      <c r="A438" s="28" t="str">
        <f aca="false">B438&amp;"|"&amp;C438</f>
        <v>C12102|29</v>
      </c>
      <c r="B438" s="28" t="s">
        <v>75</v>
      </c>
      <c r="C438" s="28" t="n">
        <v>29</v>
      </c>
      <c r="D438" s="28" t="s">
        <v>121</v>
      </c>
      <c r="E438" s="28" t="s">
        <v>126</v>
      </c>
      <c r="F438" s="28" t="s">
        <v>95</v>
      </c>
      <c r="G438" s="29"/>
      <c r="H438" s="29"/>
      <c r="I438" s="28"/>
      <c r="J438" s="28" t="str">
        <f aca="false">INDEX(Turmas!$K:$K,MATCH(B438,Turmas!$M:$M,0))&amp;" | "&amp;INDEX(Turmas!$L:$L,MATCH(B438,Turmas!$M:$M,0))</f>
        <v>CICLO I  -  2º ANO | MANHÃ</v>
      </c>
    </row>
    <row r="439" customFormat="false" ht="15" hidden="false" customHeight="false" outlineLevel="0" collapsed="false">
      <c r="A439" s="28" t="str">
        <f aca="false">B439&amp;"|"&amp;C439</f>
        <v>C12102|30</v>
      </c>
      <c r="B439" s="28" t="s">
        <v>75</v>
      </c>
      <c r="C439" s="28" t="n">
        <v>30</v>
      </c>
      <c r="D439" s="28" t="s">
        <v>127</v>
      </c>
      <c r="E439" s="28" t="s">
        <v>128</v>
      </c>
      <c r="F439" s="28" t="s">
        <v>95</v>
      </c>
      <c r="G439" s="29"/>
      <c r="H439" s="29"/>
      <c r="I439" s="28"/>
      <c r="J439" s="28" t="str">
        <f aca="false">INDEX(Turmas!$K:$K,MATCH(B439,Turmas!$M:$M,0))&amp;" | "&amp;INDEX(Turmas!$L:$L,MATCH(B439,Turmas!$M:$M,0))</f>
        <v>CICLO I  -  2º ANO | MANHÃ</v>
      </c>
    </row>
    <row r="440" customFormat="false" ht="15" hidden="false" customHeight="false" outlineLevel="0" collapsed="false">
      <c r="A440" s="28" t="str">
        <f aca="false">B440&amp;"|"&amp;C440</f>
        <v>C12102|31</v>
      </c>
      <c r="B440" s="28" t="s">
        <v>75</v>
      </c>
      <c r="C440" s="28" t="n">
        <v>31</v>
      </c>
      <c r="D440" s="28" t="s">
        <v>127</v>
      </c>
      <c r="E440" s="28" t="s">
        <v>108</v>
      </c>
      <c r="F440" s="28" t="s">
        <v>95</v>
      </c>
      <c r="G440" s="29"/>
      <c r="H440" s="29"/>
      <c r="I440" s="28"/>
      <c r="J440" s="28" t="str">
        <f aca="false">INDEX(Turmas!$K:$K,MATCH(B440,Turmas!$M:$M,0))&amp;" | "&amp;INDEX(Turmas!$L:$L,MATCH(B440,Turmas!$M:$M,0))</f>
        <v>CICLO I  -  2º ANO | MANHÃ</v>
      </c>
    </row>
    <row r="441" customFormat="false" ht="15" hidden="false" customHeight="false" outlineLevel="0" collapsed="false">
      <c r="A441" s="28" t="str">
        <f aca="false">B441&amp;"|"&amp;C441</f>
        <v>C12102|32</v>
      </c>
      <c r="B441" s="28" t="s">
        <v>75</v>
      </c>
      <c r="C441" s="28" t="n">
        <v>32</v>
      </c>
      <c r="D441" s="28" t="s">
        <v>127</v>
      </c>
      <c r="E441" s="28" t="s">
        <v>129</v>
      </c>
      <c r="F441" s="28" t="s">
        <v>95</v>
      </c>
      <c r="G441" s="29"/>
      <c r="H441" s="29"/>
      <c r="I441" s="28"/>
      <c r="J441" s="28" t="str">
        <f aca="false">INDEX(Turmas!$K:$K,MATCH(B441,Turmas!$M:$M,0))&amp;" | "&amp;INDEX(Turmas!$L:$L,MATCH(B441,Turmas!$M:$M,0))</f>
        <v>CICLO I  -  2º ANO | MANHÃ</v>
      </c>
    </row>
    <row r="442" customFormat="false" ht="15" hidden="false" customHeight="false" outlineLevel="0" collapsed="false">
      <c r="A442" s="28" t="str">
        <f aca="false">B442&amp;"|"&amp;C442</f>
        <v>C12102|33</v>
      </c>
      <c r="B442" s="28" t="s">
        <v>75</v>
      </c>
      <c r="C442" s="28" t="n">
        <v>33</v>
      </c>
      <c r="D442" s="28" t="s">
        <v>127</v>
      </c>
      <c r="E442" s="28" t="s">
        <v>130</v>
      </c>
      <c r="F442" s="28" t="s">
        <v>95</v>
      </c>
      <c r="G442" s="29"/>
      <c r="H442" s="29"/>
      <c r="I442" s="28"/>
      <c r="J442" s="28" t="str">
        <f aca="false">INDEX(Turmas!$K:$K,MATCH(B442,Turmas!$M:$M,0))&amp;" | "&amp;INDEX(Turmas!$L:$L,MATCH(B442,Turmas!$M:$M,0))</f>
        <v>CICLO I  -  2º ANO | MANHÃ</v>
      </c>
    </row>
    <row r="443" customFormat="false" ht="15" hidden="false" customHeight="false" outlineLevel="0" collapsed="false">
      <c r="A443" s="28" t="str">
        <f aca="false">B443&amp;"|"&amp;C443</f>
        <v>C12102|34</v>
      </c>
      <c r="B443" s="28" t="s">
        <v>75</v>
      </c>
      <c r="C443" s="28" t="n">
        <v>34</v>
      </c>
      <c r="D443" s="28" t="s">
        <v>127</v>
      </c>
      <c r="E443" s="28" t="s">
        <v>131</v>
      </c>
      <c r="F443" s="28" t="s">
        <v>95</v>
      </c>
      <c r="G443" s="29"/>
      <c r="H443" s="29"/>
      <c r="I443" s="28"/>
      <c r="J443" s="28" t="str">
        <f aca="false">INDEX(Turmas!$K:$K,MATCH(B443,Turmas!$M:$M,0))&amp;" | "&amp;INDEX(Turmas!$L:$L,MATCH(B443,Turmas!$M:$M,0))</f>
        <v>CICLO I  -  2º ANO | MANHÃ</v>
      </c>
    </row>
    <row r="444" customFormat="false" ht="15" hidden="false" customHeight="false" outlineLevel="0" collapsed="false">
      <c r="A444" s="28" t="str">
        <f aca="false">B444&amp;"|"&amp;C444</f>
        <v>C12101|1</v>
      </c>
      <c r="B444" s="28" t="s">
        <v>76</v>
      </c>
      <c r="C444" s="28" t="n">
        <v>1</v>
      </c>
      <c r="D444" s="28" t="s">
        <v>93</v>
      </c>
      <c r="E444" s="28" t="s">
        <v>94</v>
      </c>
      <c r="F444" s="28" t="s">
        <v>95</v>
      </c>
      <c r="G444" s="29"/>
      <c r="H444" s="29"/>
      <c r="I444" s="28"/>
      <c r="J444" s="28" t="str">
        <f aca="false">INDEX(Turmas!$K:$K,MATCH(B444,Turmas!$M:$M,0))&amp;" | "&amp;INDEX(Turmas!$L:$L,MATCH(B444,Turmas!$M:$M,0))</f>
        <v>CICLO I  -  2º ANO | MANHÃ</v>
      </c>
    </row>
    <row r="445" customFormat="false" ht="15" hidden="false" customHeight="false" outlineLevel="0" collapsed="false">
      <c r="A445" s="28" t="str">
        <f aca="false">B445&amp;"|"&amp;C445</f>
        <v>C12101|2</v>
      </c>
      <c r="B445" s="28" t="s">
        <v>76</v>
      </c>
      <c r="C445" s="28" t="n">
        <v>2</v>
      </c>
      <c r="D445" s="28" t="s">
        <v>93</v>
      </c>
      <c r="E445" s="28" t="s">
        <v>96</v>
      </c>
      <c r="F445" s="28" t="s">
        <v>95</v>
      </c>
      <c r="G445" s="29"/>
      <c r="H445" s="29"/>
      <c r="I445" s="28"/>
      <c r="J445" s="28" t="str">
        <f aca="false">INDEX(Turmas!$K:$K,MATCH(B445,Turmas!$M:$M,0))&amp;" | "&amp;INDEX(Turmas!$L:$L,MATCH(B445,Turmas!$M:$M,0))</f>
        <v>CICLO I  -  2º ANO | MANHÃ</v>
      </c>
    </row>
    <row r="446" customFormat="false" ht="15" hidden="false" customHeight="false" outlineLevel="0" collapsed="false">
      <c r="A446" s="28" t="str">
        <f aca="false">B446&amp;"|"&amp;C446</f>
        <v>C12101|3</v>
      </c>
      <c r="B446" s="28" t="s">
        <v>76</v>
      </c>
      <c r="C446" s="28" t="n">
        <v>3</v>
      </c>
      <c r="D446" s="28" t="s">
        <v>93</v>
      </c>
      <c r="E446" s="28" t="s">
        <v>97</v>
      </c>
      <c r="F446" s="28" t="s">
        <v>95</v>
      </c>
      <c r="G446" s="29"/>
      <c r="H446" s="29"/>
      <c r="I446" s="28"/>
      <c r="J446" s="28" t="str">
        <f aca="false">INDEX(Turmas!$K:$K,MATCH(B446,Turmas!$M:$M,0))&amp;" | "&amp;INDEX(Turmas!$L:$L,MATCH(B446,Turmas!$M:$M,0))</f>
        <v>CICLO I  -  2º ANO | MANHÃ</v>
      </c>
    </row>
    <row r="447" customFormat="false" ht="15" hidden="false" customHeight="false" outlineLevel="0" collapsed="false">
      <c r="A447" s="28" t="str">
        <f aca="false">B447&amp;"|"&amp;C447</f>
        <v>C12101|4</v>
      </c>
      <c r="B447" s="28" t="s">
        <v>76</v>
      </c>
      <c r="C447" s="28" t="n">
        <v>4</v>
      </c>
      <c r="D447" s="28" t="s">
        <v>93</v>
      </c>
      <c r="E447" s="28" t="s">
        <v>98</v>
      </c>
      <c r="F447" s="28" t="s">
        <v>95</v>
      </c>
      <c r="G447" s="29"/>
      <c r="H447" s="29"/>
      <c r="I447" s="28"/>
      <c r="J447" s="28" t="str">
        <f aca="false">INDEX(Turmas!$K:$K,MATCH(B447,Turmas!$M:$M,0))&amp;" | "&amp;INDEX(Turmas!$L:$L,MATCH(B447,Turmas!$M:$M,0))</f>
        <v>CICLO I  -  2º ANO | MANHÃ</v>
      </c>
    </row>
    <row r="448" customFormat="false" ht="15" hidden="false" customHeight="false" outlineLevel="0" collapsed="false">
      <c r="A448" s="28" t="str">
        <f aca="false">B448&amp;"|"&amp;C448</f>
        <v>C12101|5</v>
      </c>
      <c r="B448" s="28" t="s">
        <v>76</v>
      </c>
      <c r="C448" s="28" t="n">
        <v>5</v>
      </c>
      <c r="D448" s="28" t="s">
        <v>93</v>
      </c>
      <c r="E448" s="28" t="s">
        <v>99</v>
      </c>
      <c r="F448" s="28" t="s">
        <v>95</v>
      </c>
      <c r="G448" s="29"/>
      <c r="H448" s="29"/>
      <c r="I448" s="28"/>
      <c r="J448" s="28" t="str">
        <f aca="false">INDEX(Turmas!$K:$K,MATCH(B448,Turmas!$M:$M,0))&amp;" | "&amp;INDEX(Turmas!$L:$L,MATCH(B448,Turmas!$M:$M,0))</f>
        <v>CICLO I  -  2º ANO | MANHÃ</v>
      </c>
    </row>
    <row r="449" customFormat="false" ht="15" hidden="false" customHeight="false" outlineLevel="0" collapsed="false">
      <c r="A449" s="28" t="str">
        <f aca="false">B449&amp;"|"&amp;C449</f>
        <v>C12101|6</v>
      </c>
      <c r="B449" s="28" t="s">
        <v>76</v>
      </c>
      <c r="C449" s="28" t="n">
        <v>6</v>
      </c>
      <c r="D449" s="28" t="s">
        <v>93</v>
      </c>
      <c r="E449" s="28" t="s">
        <v>100</v>
      </c>
      <c r="F449" s="28" t="s">
        <v>95</v>
      </c>
      <c r="G449" s="29"/>
      <c r="H449" s="29"/>
      <c r="I449" s="28"/>
      <c r="J449" s="28" t="str">
        <f aca="false">INDEX(Turmas!$K:$K,MATCH(B449,Turmas!$M:$M,0))&amp;" | "&amp;INDEX(Turmas!$L:$L,MATCH(B449,Turmas!$M:$M,0))</f>
        <v>CICLO I  -  2º ANO | MANHÃ</v>
      </c>
    </row>
    <row r="450" customFormat="false" ht="15" hidden="false" customHeight="false" outlineLevel="0" collapsed="false">
      <c r="A450" s="28" t="str">
        <f aca="false">B450&amp;"|"&amp;C450</f>
        <v>C12101|7</v>
      </c>
      <c r="B450" s="28" t="s">
        <v>76</v>
      </c>
      <c r="C450" s="28" t="n">
        <v>7</v>
      </c>
      <c r="D450" s="28" t="s">
        <v>93</v>
      </c>
      <c r="E450" s="28" t="s">
        <v>101</v>
      </c>
      <c r="F450" s="28" t="s">
        <v>95</v>
      </c>
      <c r="G450" s="29"/>
      <c r="H450" s="29"/>
      <c r="I450" s="28"/>
      <c r="J450" s="28" t="str">
        <f aca="false">INDEX(Turmas!$K:$K,MATCH(B450,Turmas!$M:$M,0))&amp;" | "&amp;INDEX(Turmas!$L:$L,MATCH(B450,Turmas!$M:$M,0))</f>
        <v>CICLO I  -  2º ANO | MANHÃ</v>
      </c>
    </row>
    <row r="451" customFormat="false" ht="15" hidden="false" customHeight="false" outlineLevel="0" collapsed="false">
      <c r="A451" s="28" t="str">
        <f aca="false">B451&amp;"|"&amp;C451</f>
        <v>C12101|8</v>
      </c>
      <c r="B451" s="28" t="s">
        <v>76</v>
      </c>
      <c r="C451" s="28" t="n">
        <v>8</v>
      </c>
      <c r="D451" s="28" t="s">
        <v>102</v>
      </c>
      <c r="E451" s="28" t="s">
        <v>103</v>
      </c>
      <c r="F451" s="28" t="s">
        <v>95</v>
      </c>
      <c r="G451" s="29"/>
      <c r="H451" s="29"/>
      <c r="I451" s="28"/>
      <c r="J451" s="28" t="str">
        <f aca="false">INDEX(Turmas!$K:$K,MATCH(B451,Turmas!$M:$M,0))&amp;" | "&amp;INDEX(Turmas!$L:$L,MATCH(B451,Turmas!$M:$M,0))</f>
        <v>CICLO I  -  2º ANO | MANHÃ</v>
      </c>
    </row>
    <row r="452" customFormat="false" ht="15" hidden="false" customHeight="false" outlineLevel="0" collapsed="false">
      <c r="A452" s="28" t="str">
        <f aca="false">B452&amp;"|"&amp;C452</f>
        <v>C12101|9</v>
      </c>
      <c r="B452" s="28" t="s">
        <v>76</v>
      </c>
      <c r="C452" s="28" t="n">
        <v>9</v>
      </c>
      <c r="D452" s="28" t="s">
        <v>102</v>
      </c>
      <c r="E452" s="28" t="s">
        <v>104</v>
      </c>
      <c r="F452" s="28" t="s">
        <v>95</v>
      </c>
      <c r="G452" s="29"/>
      <c r="H452" s="29"/>
      <c r="I452" s="28"/>
      <c r="J452" s="28" t="str">
        <f aca="false">INDEX(Turmas!$K:$K,MATCH(B452,Turmas!$M:$M,0))&amp;" | "&amp;INDEX(Turmas!$L:$L,MATCH(B452,Turmas!$M:$M,0))</f>
        <v>CICLO I  -  2º ANO | MANHÃ</v>
      </c>
    </row>
    <row r="453" customFormat="false" ht="15" hidden="false" customHeight="false" outlineLevel="0" collapsed="false">
      <c r="A453" s="28" t="str">
        <f aca="false">B453&amp;"|"&amp;C453</f>
        <v>C12101|10</v>
      </c>
      <c r="B453" s="28" t="s">
        <v>76</v>
      </c>
      <c r="C453" s="28" t="n">
        <v>10</v>
      </c>
      <c r="D453" s="28" t="s">
        <v>102</v>
      </c>
      <c r="E453" s="28" t="s">
        <v>105</v>
      </c>
      <c r="F453" s="28" t="s">
        <v>95</v>
      </c>
      <c r="G453" s="29"/>
      <c r="H453" s="29"/>
      <c r="I453" s="28"/>
      <c r="J453" s="28" t="str">
        <f aca="false">INDEX(Turmas!$K:$K,MATCH(B453,Turmas!$M:$M,0))&amp;" | "&amp;INDEX(Turmas!$L:$L,MATCH(B453,Turmas!$M:$M,0))</f>
        <v>CICLO I  -  2º ANO | MANHÃ</v>
      </c>
    </row>
    <row r="454" customFormat="false" ht="15" hidden="false" customHeight="false" outlineLevel="0" collapsed="false">
      <c r="A454" s="28" t="str">
        <f aca="false">B454&amp;"|"&amp;C454</f>
        <v>C12101|11</v>
      </c>
      <c r="B454" s="28" t="s">
        <v>76</v>
      </c>
      <c r="C454" s="28" t="n">
        <v>11</v>
      </c>
      <c r="D454" s="28" t="s">
        <v>102</v>
      </c>
      <c r="E454" s="28" t="s">
        <v>106</v>
      </c>
      <c r="F454" s="28" t="s">
        <v>95</v>
      </c>
      <c r="G454" s="29"/>
      <c r="H454" s="29"/>
      <c r="I454" s="28"/>
      <c r="J454" s="28" t="str">
        <f aca="false">INDEX(Turmas!$K:$K,MATCH(B454,Turmas!$M:$M,0))&amp;" | "&amp;INDEX(Turmas!$L:$L,MATCH(B454,Turmas!$M:$M,0))</f>
        <v>CICLO I  -  2º ANO | MANHÃ</v>
      </c>
    </row>
    <row r="455" customFormat="false" ht="15" hidden="false" customHeight="false" outlineLevel="0" collapsed="false">
      <c r="A455" s="28" t="str">
        <f aca="false">B455&amp;"|"&amp;C455</f>
        <v>C12101|12</v>
      </c>
      <c r="B455" s="28" t="s">
        <v>76</v>
      </c>
      <c r="C455" s="28" t="n">
        <v>12</v>
      </c>
      <c r="D455" s="28" t="s">
        <v>102</v>
      </c>
      <c r="E455" s="28" t="s">
        <v>107</v>
      </c>
      <c r="F455" s="28" t="s">
        <v>95</v>
      </c>
      <c r="G455" s="29"/>
      <c r="H455" s="29"/>
      <c r="I455" s="28"/>
      <c r="J455" s="28" t="str">
        <f aca="false">INDEX(Turmas!$K:$K,MATCH(B455,Turmas!$M:$M,0))&amp;" | "&amp;INDEX(Turmas!$L:$L,MATCH(B455,Turmas!$M:$M,0))</f>
        <v>CICLO I  -  2º ANO | MANHÃ</v>
      </c>
    </row>
    <row r="456" customFormat="false" ht="15" hidden="false" customHeight="false" outlineLevel="0" collapsed="false">
      <c r="A456" s="28" t="str">
        <f aca="false">B456&amp;"|"&amp;C456</f>
        <v>C12101|13</v>
      </c>
      <c r="B456" s="28" t="s">
        <v>76</v>
      </c>
      <c r="C456" s="28" t="n">
        <v>13</v>
      </c>
      <c r="D456" s="28" t="s">
        <v>102</v>
      </c>
      <c r="E456" s="28" t="s">
        <v>108</v>
      </c>
      <c r="F456" s="28" t="s">
        <v>95</v>
      </c>
      <c r="G456" s="29"/>
      <c r="H456" s="29"/>
      <c r="I456" s="28"/>
      <c r="J456" s="28" t="str">
        <f aca="false">INDEX(Turmas!$K:$K,MATCH(B456,Turmas!$M:$M,0))&amp;" | "&amp;INDEX(Turmas!$L:$L,MATCH(B456,Turmas!$M:$M,0))</f>
        <v>CICLO I  -  2º ANO | MANHÃ</v>
      </c>
    </row>
    <row r="457" customFormat="false" ht="15" hidden="false" customHeight="false" outlineLevel="0" collapsed="false">
      <c r="A457" s="28" t="str">
        <f aca="false">B457&amp;"|"&amp;C457</f>
        <v>C12101|14</v>
      </c>
      <c r="B457" s="28" t="s">
        <v>76</v>
      </c>
      <c r="C457" s="28" t="n">
        <v>14</v>
      </c>
      <c r="D457" s="28" t="s">
        <v>102</v>
      </c>
      <c r="E457" s="28" t="s">
        <v>109</v>
      </c>
      <c r="F457" s="28" t="s">
        <v>95</v>
      </c>
      <c r="G457" s="29"/>
      <c r="H457" s="29"/>
      <c r="I457" s="28"/>
      <c r="J457" s="28" t="str">
        <f aca="false">INDEX(Turmas!$K:$K,MATCH(B457,Turmas!$M:$M,0))&amp;" | "&amp;INDEX(Turmas!$L:$L,MATCH(B457,Turmas!$M:$M,0))</f>
        <v>CICLO I  -  2º ANO | MANHÃ</v>
      </c>
    </row>
    <row r="458" customFormat="false" ht="15" hidden="false" customHeight="false" outlineLevel="0" collapsed="false">
      <c r="A458" s="28" t="str">
        <f aca="false">B458&amp;"|"&amp;C458</f>
        <v>C12101|15</v>
      </c>
      <c r="B458" s="28" t="s">
        <v>76</v>
      </c>
      <c r="C458" s="28" t="n">
        <v>15</v>
      </c>
      <c r="D458" s="28" t="s">
        <v>102</v>
      </c>
      <c r="E458" s="28" t="s">
        <v>110</v>
      </c>
      <c r="F458" s="28" t="s">
        <v>95</v>
      </c>
      <c r="G458" s="29"/>
      <c r="H458" s="29"/>
      <c r="I458" s="28"/>
      <c r="J458" s="28" t="str">
        <f aca="false">INDEX(Turmas!$K:$K,MATCH(B458,Turmas!$M:$M,0))&amp;" | "&amp;INDEX(Turmas!$L:$L,MATCH(B458,Turmas!$M:$M,0))</f>
        <v>CICLO I  -  2º ANO | MANHÃ</v>
      </c>
    </row>
    <row r="459" customFormat="false" ht="15" hidden="false" customHeight="false" outlineLevel="0" collapsed="false">
      <c r="A459" s="28" t="str">
        <f aca="false">B459&amp;"|"&amp;C459</f>
        <v>C12101|16</v>
      </c>
      <c r="B459" s="28" t="s">
        <v>76</v>
      </c>
      <c r="C459" s="28" t="n">
        <v>16</v>
      </c>
      <c r="D459" s="28" t="s">
        <v>111</v>
      </c>
      <c r="E459" s="28" t="s">
        <v>112</v>
      </c>
      <c r="F459" s="28" t="s">
        <v>95</v>
      </c>
      <c r="G459" s="29"/>
      <c r="H459" s="29"/>
      <c r="I459" s="28"/>
      <c r="J459" s="28" t="str">
        <f aca="false">INDEX(Turmas!$K:$K,MATCH(B459,Turmas!$M:$M,0))&amp;" | "&amp;INDEX(Turmas!$L:$L,MATCH(B459,Turmas!$M:$M,0))</f>
        <v>CICLO I  -  2º ANO | MANHÃ</v>
      </c>
    </row>
    <row r="460" customFormat="false" ht="15" hidden="false" customHeight="false" outlineLevel="0" collapsed="false">
      <c r="A460" s="28" t="str">
        <f aca="false">B460&amp;"|"&amp;C460</f>
        <v>C12101|17</v>
      </c>
      <c r="B460" s="28" t="s">
        <v>76</v>
      </c>
      <c r="C460" s="28" t="n">
        <v>17</v>
      </c>
      <c r="D460" s="28" t="s">
        <v>111</v>
      </c>
      <c r="E460" s="28" t="s">
        <v>113</v>
      </c>
      <c r="F460" s="28" t="s">
        <v>95</v>
      </c>
      <c r="G460" s="29"/>
      <c r="H460" s="29"/>
      <c r="I460" s="28"/>
      <c r="J460" s="28" t="str">
        <f aca="false">INDEX(Turmas!$K:$K,MATCH(B460,Turmas!$M:$M,0))&amp;" | "&amp;INDEX(Turmas!$L:$L,MATCH(B460,Turmas!$M:$M,0))</f>
        <v>CICLO I  -  2º ANO | MANHÃ</v>
      </c>
    </row>
    <row r="461" customFormat="false" ht="15" hidden="false" customHeight="false" outlineLevel="0" collapsed="false">
      <c r="A461" s="28" t="str">
        <f aca="false">B461&amp;"|"&amp;C461</f>
        <v>C12101|18</v>
      </c>
      <c r="B461" s="28" t="s">
        <v>76</v>
      </c>
      <c r="C461" s="28" t="n">
        <v>18</v>
      </c>
      <c r="D461" s="28" t="s">
        <v>111</v>
      </c>
      <c r="E461" s="28" t="s">
        <v>114</v>
      </c>
      <c r="F461" s="28" t="s">
        <v>95</v>
      </c>
      <c r="G461" s="29"/>
      <c r="H461" s="29"/>
      <c r="I461" s="28"/>
      <c r="J461" s="28" t="str">
        <f aca="false">INDEX(Turmas!$K:$K,MATCH(B461,Turmas!$M:$M,0))&amp;" | "&amp;INDEX(Turmas!$L:$L,MATCH(B461,Turmas!$M:$M,0))</f>
        <v>CICLO I  -  2º ANO | MANHÃ</v>
      </c>
    </row>
    <row r="462" customFormat="false" ht="15" hidden="false" customHeight="false" outlineLevel="0" collapsed="false">
      <c r="A462" s="28" t="str">
        <f aca="false">B462&amp;"|"&amp;C462</f>
        <v>C12101|19</v>
      </c>
      <c r="B462" s="28" t="s">
        <v>76</v>
      </c>
      <c r="C462" s="28" t="n">
        <v>19</v>
      </c>
      <c r="D462" s="28" t="s">
        <v>111</v>
      </c>
      <c r="E462" s="28" t="s">
        <v>115</v>
      </c>
      <c r="F462" s="28" t="s">
        <v>95</v>
      </c>
      <c r="G462" s="29"/>
      <c r="H462" s="29"/>
      <c r="I462" s="28"/>
      <c r="J462" s="28" t="str">
        <f aca="false">INDEX(Turmas!$K:$K,MATCH(B462,Turmas!$M:$M,0))&amp;" | "&amp;INDEX(Turmas!$L:$L,MATCH(B462,Turmas!$M:$M,0))</f>
        <v>CICLO I  -  2º ANO | MANHÃ</v>
      </c>
    </row>
    <row r="463" customFormat="false" ht="15" hidden="false" customHeight="false" outlineLevel="0" collapsed="false">
      <c r="A463" s="28" t="str">
        <f aca="false">B463&amp;"|"&amp;C463</f>
        <v>C12101|20</v>
      </c>
      <c r="B463" s="28" t="s">
        <v>76</v>
      </c>
      <c r="C463" s="28" t="n">
        <v>20</v>
      </c>
      <c r="D463" s="28" t="s">
        <v>111</v>
      </c>
      <c r="E463" s="28" t="s">
        <v>116</v>
      </c>
      <c r="F463" s="28" t="s">
        <v>95</v>
      </c>
      <c r="G463" s="29"/>
      <c r="H463" s="29"/>
      <c r="I463" s="28"/>
      <c r="J463" s="28" t="str">
        <f aca="false">INDEX(Turmas!$K:$K,MATCH(B463,Turmas!$M:$M,0))&amp;" | "&amp;INDEX(Turmas!$L:$L,MATCH(B463,Turmas!$M:$M,0))</f>
        <v>CICLO I  -  2º ANO | MANHÃ</v>
      </c>
    </row>
    <row r="464" customFormat="false" ht="15" hidden="false" customHeight="false" outlineLevel="0" collapsed="false">
      <c r="A464" s="28" t="str">
        <f aca="false">B464&amp;"|"&amp;C464</f>
        <v>C12101|21</v>
      </c>
      <c r="B464" s="28" t="s">
        <v>76</v>
      </c>
      <c r="C464" s="28" t="n">
        <v>21</v>
      </c>
      <c r="D464" s="28" t="s">
        <v>111</v>
      </c>
      <c r="E464" s="28" t="s">
        <v>117</v>
      </c>
      <c r="F464" s="28" t="s">
        <v>95</v>
      </c>
      <c r="G464" s="29"/>
      <c r="H464" s="29"/>
      <c r="I464" s="28"/>
      <c r="J464" s="28" t="str">
        <f aca="false">INDEX(Turmas!$K:$K,MATCH(B464,Turmas!$M:$M,0))&amp;" | "&amp;INDEX(Turmas!$L:$L,MATCH(B464,Turmas!$M:$M,0))</f>
        <v>CICLO I  -  2º ANO | MANHÃ</v>
      </c>
    </row>
    <row r="465" customFormat="false" ht="15" hidden="false" customHeight="false" outlineLevel="0" collapsed="false">
      <c r="A465" s="28" t="str">
        <f aca="false">B465&amp;"|"&amp;C465</f>
        <v>C12101|22</v>
      </c>
      <c r="B465" s="28" t="s">
        <v>76</v>
      </c>
      <c r="C465" s="28" t="n">
        <v>22</v>
      </c>
      <c r="D465" s="28" t="s">
        <v>111</v>
      </c>
      <c r="E465" s="28" t="s">
        <v>118</v>
      </c>
      <c r="F465" s="28" t="s">
        <v>95</v>
      </c>
      <c r="G465" s="29"/>
      <c r="H465" s="29"/>
      <c r="I465" s="28"/>
      <c r="J465" s="28" t="str">
        <f aca="false">INDEX(Turmas!$K:$K,MATCH(B465,Turmas!$M:$M,0))&amp;" | "&amp;INDEX(Turmas!$L:$L,MATCH(B465,Turmas!$M:$M,0))</f>
        <v>CICLO I  -  2º ANO | MANHÃ</v>
      </c>
    </row>
    <row r="466" customFormat="false" ht="15" hidden="false" customHeight="false" outlineLevel="0" collapsed="false">
      <c r="A466" s="28" t="str">
        <f aca="false">B466&amp;"|"&amp;C466</f>
        <v>C12101|23</v>
      </c>
      <c r="B466" s="28" t="s">
        <v>76</v>
      </c>
      <c r="C466" s="28" t="n">
        <v>23</v>
      </c>
      <c r="D466" s="28" t="s">
        <v>111</v>
      </c>
      <c r="E466" s="28" t="s">
        <v>119</v>
      </c>
      <c r="F466" s="28" t="s">
        <v>95</v>
      </c>
      <c r="G466" s="29"/>
      <c r="H466" s="29"/>
      <c r="I466" s="28"/>
      <c r="J466" s="28" t="str">
        <f aca="false">INDEX(Turmas!$K:$K,MATCH(B466,Turmas!$M:$M,0))&amp;" | "&amp;INDEX(Turmas!$L:$L,MATCH(B466,Turmas!$M:$M,0))</f>
        <v>CICLO I  -  2º ANO | MANHÃ</v>
      </c>
    </row>
    <row r="467" customFormat="false" ht="15" hidden="false" customHeight="false" outlineLevel="0" collapsed="false">
      <c r="A467" s="28" t="str">
        <f aca="false">B467&amp;"|"&amp;C467</f>
        <v>C12101|24</v>
      </c>
      <c r="B467" s="28" t="s">
        <v>76</v>
      </c>
      <c r="C467" s="28" t="n">
        <v>24</v>
      </c>
      <c r="D467" s="28" t="s">
        <v>111</v>
      </c>
      <c r="E467" s="28" t="s">
        <v>120</v>
      </c>
      <c r="F467" s="28" t="s">
        <v>95</v>
      </c>
      <c r="G467" s="29"/>
      <c r="H467" s="29"/>
      <c r="I467" s="28"/>
      <c r="J467" s="28" t="str">
        <f aca="false">INDEX(Turmas!$K:$K,MATCH(B467,Turmas!$M:$M,0))&amp;" | "&amp;INDEX(Turmas!$L:$L,MATCH(B467,Turmas!$M:$M,0))</f>
        <v>CICLO I  -  2º ANO | MANHÃ</v>
      </c>
    </row>
    <row r="468" customFormat="false" ht="15" hidden="false" customHeight="false" outlineLevel="0" collapsed="false">
      <c r="A468" s="28" t="str">
        <f aca="false">B468&amp;"|"&amp;C468</f>
        <v>C12101|25</v>
      </c>
      <c r="B468" s="28" t="s">
        <v>76</v>
      </c>
      <c r="C468" s="28" t="n">
        <v>25</v>
      </c>
      <c r="D468" s="28" t="s">
        <v>121</v>
      </c>
      <c r="E468" s="28" t="s">
        <v>122</v>
      </c>
      <c r="F468" s="28" t="s">
        <v>95</v>
      </c>
      <c r="G468" s="29"/>
      <c r="H468" s="29"/>
      <c r="I468" s="28"/>
      <c r="J468" s="28" t="str">
        <f aca="false">INDEX(Turmas!$K:$K,MATCH(B468,Turmas!$M:$M,0))&amp;" | "&amp;INDEX(Turmas!$L:$L,MATCH(B468,Turmas!$M:$M,0))</f>
        <v>CICLO I  -  2º ANO | MANHÃ</v>
      </c>
    </row>
    <row r="469" customFormat="false" ht="15" hidden="false" customHeight="false" outlineLevel="0" collapsed="false">
      <c r="A469" s="28" t="str">
        <f aca="false">B469&amp;"|"&amp;C469</f>
        <v>C12101|26</v>
      </c>
      <c r="B469" s="28" t="s">
        <v>76</v>
      </c>
      <c r="C469" s="28" t="n">
        <v>26</v>
      </c>
      <c r="D469" s="28" t="s">
        <v>121</v>
      </c>
      <c r="E469" s="28" t="s">
        <v>123</v>
      </c>
      <c r="F469" s="28" t="s">
        <v>95</v>
      </c>
      <c r="G469" s="29"/>
      <c r="H469" s="29"/>
      <c r="I469" s="28"/>
      <c r="J469" s="28" t="str">
        <f aca="false">INDEX(Turmas!$K:$K,MATCH(B469,Turmas!$M:$M,0))&amp;" | "&amp;INDEX(Turmas!$L:$L,MATCH(B469,Turmas!$M:$M,0))</f>
        <v>CICLO I  -  2º ANO | MANHÃ</v>
      </c>
    </row>
    <row r="470" customFormat="false" ht="15" hidden="false" customHeight="false" outlineLevel="0" collapsed="false">
      <c r="A470" s="28" t="str">
        <f aca="false">B470&amp;"|"&amp;C470</f>
        <v>C12101|27</v>
      </c>
      <c r="B470" s="28" t="s">
        <v>76</v>
      </c>
      <c r="C470" s="28" t="n">
        <v>27</v>
      </c>
      <c r="D470" s="28" t="s">
        <v>121</v>
      </c>
      <c r="E470" s="28" t="s">
        <v>124</v>
      </c>
      <c r="F470" s="28" t="s">
        <v>95</v>
      </c>
      <c r="G470" s="29"/>
      <c r="H470" s="29"/>
      <c r="I470" s="28"/>
      <c r="J470" s="28" t="str">
        <f aca="false">INDEX(Turmas!$K:$K,MATCH(B470,Turmas!$M:$M,0))&amp;" | "&amp;INDEX(Turmas!$L:$L,MATCH(B470,Turmas!$M:$M,0))</f>
        <v>CICLO I  -  2º ANO | MANHÃ</v>
      </c>
    </row>
    <row r="471" customFormat="false" ht="15" hidden="false" customHeight="false" outlineLevel="0" collapsed="false">
      <c r="A471" s="28" t="str">
        <f aca="false">B471&amp;"|"&amp;C471</f>
        <v>C12101|28</v>
      </c>
      <c r="B471" s="28" t="s">
        <v>76</v>
      </c>
      <c r="C471" s="28" t="n">
        <v>28</v>
      </c>
      <c r="D471" s="28" t="s">
        <v>121</v>
      </c>
      <c r="E471" s="28" t="s">
        <v>125</v>
      </c>
      <c r="F471" s="28" t="s">
        <v>95</v>
      </c>
      <c r="G471" s="29"/>
      <c r="H471" s="29"/>
      <c r="I471" s="28"/>
      <c r="J471" s="28" t="str">
        <f aca="false">INDEX(Turmas!$K:$K,MATCH(B471,Turmas!$M:$M,0))&amp;" | "&amp;INDEX(Turmas!$L:$L,MATCH(B471,Turmas!$M:$M,0))</f>
        <v>CICLO I  -  2º ANO | MANHÃ</v>
      </c>
    </row>
    <row r="472" customFormat="false" ht="15" hidden="false" customHeight="false" outlineLevel="0" collapsed="false">
      <c r="A472" s="28" t="str">
        <f aca="false">B472&amp;"|"&amp;C472</f>
        <v>C12101|29</v>
      </c>
      <c r="B472" s="28" t="s">
        <v>76</v>
      </c>
      <c r="C472" s="28" t="n">
        <v>29</v>
      </c>
      <c r="D472" s="28" t="s">
        <v>121</v>
      </c>
      <c r="E472" s="28" t="s">
        <v>126</v>
      </c>
      <c r="F472" s="28" t="s">
        <v>95</v>
      </c>
      <c r="G472" s="29"/>
      <c r="H472" s="29"/>
      <c r="I472" s="28"/>
      <c r="J472" s="28" t="str">
        <f aca="false">INDEX(Turmas!$K:$K,MATCH(B472,Turmas!$M:$M,0))&amp;" | "&amp;INDEX(Turmas!$L:$L,MATCH(B472,Turmas!$M:$M,0))</f>
        <v>CICLO I  -  2º ANO | MANHÃ</v>
      </c>
    </row>
    <row r="473" customFormat="false" ht="15" hidden="false" customHeight="false" outlineLevel="0" collapsed="false">
      <c r="A473" s="28" t="str">
        <f aca="false">B473&amp;"|"&amp;C473</f>
        <v>C12101|30</v>
      </c>
      <c r="B473" s="28" t="s">
        <v>76</v>
      </c>
      <c r="C473" s="28" t="n">
        <v>30</v>
      </c>
      <c r="D473" s="28" t="s">
        <v>127</v>
      </c>
      <c r="E473" s="28" t="s">
        <v>128</v>
      </c>
      <c r="F473" s="28" t="s">
        <v>95</v>
      </c>
      <c r="G473" s="29"/>
      <c r="H473" s="29"/>
      <c r="I473" s="28"/>
      <c r="J473" s="28" t="str">
        <f aca="false">INDEX(Turmas!$K:$K,MATCH(B473,Turmas!$M:$M,0))&amp;" | "&amp;INDEX(Turmas!$L:$L,MATCH(B473,Turmas!$M:$M,0))</f>
        <v>CICLO I  -  2º ANO | MANHÃ</v>
      </c>
    </row>
    <row r="474" customFormat="false" ht="15" hidden="false" customHeight="false" outlineLevel="0" collapsed="false">
      <c r="A474" s="28" t="str">
        <f aca="false">B474&amp;"|"&amp;C474</f>
        <v>C12101|31</v>
      </c>
      <c r="B474" s="28" t="s">
        <v>76</v>
      </c>
      <c r="C474" s="28" t="n">
        <v>31</v>
      </c>
      <c r="D474" s="28" t="s">
        <v>127</v>
      </c>
      <c r="E474" s="28" t="s">
        <v>108</v>
      </c>
      <c r="F474" s="28" t="s">
        <v>95</v>
      </c>
      <c r="G474" s="29"/>
      <c r="H474" s="29"/>
      <c r="I474" s="28"/>
      <c r="J474" s="28" t="str">
        <f aca="false">INDEX(Turmas!$K:$K,MATCH(B474,Turmas!$M:$M,0))&amp;" | "&amp;INDEX(Turmas!$L:$L,MATCH(B474,Turmas!$M:$M,0))</f>
        <v>CICLO I  -  2º ANO | MANHÃ</v>
      </c>
    </row>
    <row r="475" customFormat="false" ht="15" hidden="false" customHeight="false" outlineLevel="0" collapsed="false">
      <c r="A475" s="28" t="str">
        <f aca="false">B475&amp;"|"&amp;C475</f>
        <v>C12101|32</v>
      </c>
      <c r="B475" s="28" t="s">
        <v>76</v>
      </c>
      <c r="C475" s="28" t="n">
        <v>32</v>
      </c>
      <c r="D475" s="28" t="s">
        <v>127</v>
      </c>
      <c r="E475" s="28" t="s">
        <v>129</v>
      </c>
      <c r="F475" s="28" t="s">
        <v>95</v>
      </c>
      <c r="G475" s="29"/>
      <c r="H475" s="29"/>
      <c r="I475" s="28"/>
      <c r="J475" s="28" t="str">
        <f aca="false">INDEX(Turmas!$K:$K,MATCH(B475,Turmas!$M:$M,0))&amp;" | "&amp;INDEX(Turmas!$L:$L,MATCH(B475,Turmas!$M:$M,0))</f>
        <v>CICLO I  -  2º ANO | MANHÃ</v>
      </c>
    </row>
    <row r="476" customFormat="false" ht="15" hidden="false" customHeight="false" outlineLevel="0" collapsed="false">
      <c r="A476" s="28" t="str">
        <f aca="false">B476&amp;"|"&amp;C476</f>
        <v>C12101|33</v>
      </c>
      <c r="B476" s="28" t="s">
        <v>76</v>
      </c>
      <c r="C476" s="28" t="n">
        <v>33</v>
      </c>
      <c r="D476" s="28" t="s">
        <v>127</v>
      </c>
      <c r="E476" s="28" t="s">
        <v>130</v>
      </c>
      <c r="F476" s="28" t="s">
        <v>95</v>
      </c>
      <c r="G476" s="29"/>
      <c r="H476" s="29"/>
      <c r="I476" s="28"/>
      <c r="J476" s="28" t="str">
        <f aca="false">INDEX(Turmas!$K:$K,MATCH(B476,Turmas!$M:$M,0))&amp;" | "&amp;INDEX(Turmas!$L:$L,MATCH(B476,Turmas!$M:$M,0))</f>
        <v>CICLO I  -  2º ANO | MANHÃ</v>
      </c>
    </row>
    <row r="477" customFormat="false" ht="15" hidden="false" customHeight="false" outlineLevel="0" collapsed="false">
      <c r="A477" s="28" t="str">
        <f aca="false">B477&amp;"|"&amp;C477</f>
        <v>C12101|34</v>
      </c>
      <c r="B477" s="28" t="s">
        <v>76</v>
      </c>
      <c r="C477" s="28" t="n">
        <v>34</v>
      </c>
      <c r="D477" s="28" t="s">
        <v>127</v>
      </c>
      <c r="E477" s="28" t="s">
        <v>131</v>
      </c>
      <c r="F477" s="28" t="s">
        <v>95</v>
      </c>
      <c r="G477" s="29"/>
      <c r="H477" s="29"/>
      <c r="I477" s="28"/>
      <c r="J477" s="28" t="str">
        <f aca="false">INDEX(Turmas!$K:$K,MATCH(B477,Turmas!$M:$M,0))&amp;" | "&amp;INDEX(Turmas!$L:$L,MATCH(B477,Turmas!$M:$M,0))</f>
        <v>CICLO I  -  2º ANO | MANHÃ</v>
      </c>
    </row>
    <row r="478" customFormat="false" ht="15" hidden="false" customHeight="false" outlineLevel="0" collapsed="false">
      <c r="A478" s="28" t="str">
        <f aca="false">B478&amp;"|"&amp;C478</f>
        <v>C11102|1</v>
      </c>
      <c r="B478" s="28" t="s">
        <v>78</v>
      </c>
      <c r="C478" s="28" t="n">
        <v>1</v>
      </c>
      <c r="D478" s="28" t="s">
        <v>93</v>
      </c>
      <c r="E478" s="28" t="s">
        <v>94</v>
      </c>
      <c r="F478" s="28" t="s">
        <v>95</v>
      </c>
      <c r="G478" s="29"/>
      <c r="H478" s="29"/>
      <c r="I478" s="28"/>
      <c r="J478" s="28" t="str">
        <f aca="false">INDEX(Turmas!$K:$K,MATCH(B478,Turmas!$M:$M,0))&amp;" | "&amp;INDEX(Turmas!$L:$L,MATCH(B478,Turmas!$M:$M,0))</f>
        <v>CICLO I  -  1º ANO | MANHÃ</v>
      </c>
    </row>
    <row r="479" customFormat="false" ht="15" hidden="false" customHeight="false" outlineLevel="0" collapsed="false">
      <c r="A479" s="28" t="str">
        <f aca="false">B479&amp;"|"&amp;C479</f>
        <v>C11102|2</v>
      </c>
      <c r="B479" s="28" t="s">
        <v>78</v>
      </c>
      <c r="C479" s="28" t="n">
        <v>2</v>
      </c>
      <c r="D479" s="28" t="s">
        <v>93</v>
      </c>
      <c r="E479" s="28" t="s">
        <v>96</v>
      </c>
      <c r="F479" s="28" t="s">
        <v>95</v>
      </c>
      <c r="G479" s="29"/>
      <c r="H479" s="29"/>
      <c r="I479" s="28"/>
      <c r="J479" s="28" t="str">
        <f aca="false">INDEX(Turmas!$K:$K,MATCH(B479,Turmas!$M:$M,0))&amp;" | "&amp;INDEX(Turmas!$L:$L,MATCH(B479,Turmas!$M:$M,0))</f>
        <v>CICLO I  -  1º ANO | MANHÃ</v>
      </c>
    </row>
    <row r="480" customFormat="false" ht="15" hidden="false" customHeight="false" outlineLevel="0" collapsed="false">
      <c r="A480" s="28" t="str">
        <f aca="false">B480&amp;"|"&amp;C480</f>
        <v>C11102|3</v>
      </c>
      <c r="B480" s="28" t="s">
        <v>78</v>
      </c>
      <c r="C480" s="28" t="n">
        <v>3</v>
      </c>
      <c r="D480" s="28" t="s">
        <v>93</v>
      </c>
      <c r="E480" s="28" t="s">
        <v>97</v>
      </c>
      <c r="F480" s="28" t="s">
        <v>95</v>
      </c>
      <c r="G480" s="29"/>
      <c r="H480" s="29"/>
      <c r="I480" s="28"/>
      <c r="J480" s="28" t="str">
        <f aca="false">INDEX(Turmas!$K:$K,MATCH(B480,Turmas!$M:$M,0))&amp;" | "&amp;INDEX(Turmas!$L:$L,MATCH(B480,Turmas!$M:$M,0))</f>
        <v>CICLO I  -  1º ANO | MANHÃ</v>
      </c>
    </row>
    <row r="481" customFormat="false" ht="15" hidden="false" customHeight="false" outlineLevel="0" collapsed="false">
      <c r="A481" s="28" t="str">
        <f aca="false">B481&amp;"|"&amp;C481</f>
        <v>C11102|4</v>
      </c>
      <c r="B481" s="28" t="s">
        <v>78</v>
      </c>
      <c r="C481" s="28" t="n">
        <v>4</v>
      </c>
      <c r="D481" s="28" t="s">
        <v>93</v>
      </c>
      <c r="E481" s="28" t="s">
        <v>98</v>
      </c>
      <c r="F481" s="28" t="s">
        <v>95</v>
      </c>
      <c r="G481" s="29"/>
      <c r="H481" s="29"/>
      <c r="I481" s="28"/>
      <c r="J481" s="28" t="str">
        <f aca="false">INDEX(Turmas!$K:$K,MATCH(B481,Turmas!$M:$M,0))&amp;" | "&amp;INDEX(Turmas!$L:$L,MATCH(B481,Turmas!$M:$M,0))</f>
        <v>CICLO I  -  1º ANO | MANHÃ</v>
      </c>
    </row>
    <row r="482" customFormat="false" ht="15" hidden="false" customHeight="false" outlineLevel="0" collapsed="false">
      <c r="A482" s="28" t="str">
        <f aca="false">B482&amp;"|"&amp;C482</f>
        <v>C11102|5</v>
      </c>
      <c r="B482" s="28" t="s">
        <v>78</v>
      </c>
      <c r="C482" s="28" t="n">
        <v>5</v>
      </c>
      <c r="D482" s="28" t="s">
        <v>93</v>
      </c>
      <c r="E482" s="28" t="s">
        <v>99</v>
      </c>
      <c r="F482" s="28" t="s">
        <v>95</v>
      </c>
      <c r="G482" s="29"/>
      <c r="H482" s="29"/>
      <c r="I482" s="28"/>
      <c r="J482" s="28" t="str">
        <f aca="false">INDEX(Turmas!$K:$K,MATCH(B482,Turmas!$M:$M,0))&amp;" | "&amp;INDEX(Turmas!$L:$L,MATCH(B482,Turmas!$M:$M,0))</f>
        <v>CICLO I  -  1º ANO | MANHÃ</v>
      </c>
    </row>
    <row r="483" customFormat="false" ht="15" hidden="false" customHeight="false" outlineLevel="0" collapsed="false">
      <c r="A483" s="28" t="str">
        <f aca="false">B483&amp;"|"&amp;C483</f>
        <v>C11102|6</v>
      </c>
      <c r="B483" s="28" t="s">
        <v>78</v>
      </c>
      <c r="C483" s="28" t="n">
        <v>6</v>
      </c>
      <c r="D483" s="28" t="s">
        <v>93</v>
      </c>
      <c r="E483" s="28" t="s">
        <v>100</v>
      </c>
      <c r="F483" s="28" t="s">
        <v>95</v>
      </c>
      <c r="G483" s="29"/>
      <c r="H483" s="29"/>
      <c r="I483" s="28"/>
      <c r="J483" s="28" t="str">
        <f aca="false">INDEX(Turmas!$K:$K,MATCH(B483,Turmas!$M:$M,0))&amp;" | "&amp;INDEX(Turmas!$L:$L,MATCH(B483,Turmas!$M:$M,0))</f>
        <v>CICLO I  -  1º ANO | MANHÃ</v>
      </c>
    </row>
    <row r="484" customFormat="false" ht="15" hidden="false" customHeight="false" outlineLevel="0" collapsed="false">
      <c r="A484" s="28" t="str">
        <f aca="false">B484&amp;"|"&amp;C484</f>
        <v>C11102|7</v>
      </c>
      <c r="B484" s="28" t="s">
        <v>78</v>
      </c>
      <c r="C484" s="28" t="n">
        <v>7</v>
      </c>
      <c r="D484" s="28" t="s">
        <v>93</v>
      </c>
      <c r="E484" s="28" t="s">
        <v>101</v>
      </c>
      <c r="F484" s="28" t="s">
        <v>95</v>
      </c>
      <c r="G484" s="29"/>
      <c r="H484" s="29"/>
      <c r="I484" s="28"/>
      <c r="J484" s="28" t="str">
        <f aca="false">INDEX(Turmas!$K:$K,MATCH(B484,Turmas!$M:$M,0))&amp;" | "&amp;INDEX(Turmas!$L:$L,MATCH(B484,Turmas!$M:$M,0))</f>
        <v>CICLO I  -  1º ANO | MANHÃ</v>
      </c>
    </row>
    <row r="485" customFormat="false" ht="15" hidden="false" customHeight="false" outlineLevel="0" collapsed="false">
      <c r="A485" s="28" t="str">
        <f aca="false">B485&amp;"|"&amp;C485</f>
        <v>C11102|8</v>
      </c>
      <c r="B485" s="28" t="s">
        <v>78</v>
      </c>
      <c r="C485" s="28" t="n">
        <v>8</v>
      </c>
      <c r="D485" s="28" t="s">
        <v>102</v>
      </c>
      <c r="E485" s="28" t="s">
        <v>103</v>
      </c>
      <c r="F485" s="28" t="s">
        <v>95</v>
      </c>
      <c r="G485" s="29"/>
      <c r="H485" s="29"/>
      <c r="I485" s="28"/>
      <c r="J485" s="28" t="str">
        <f aca="false">INDEX(Turmas!$K:$K,MATCH(B485,Turmas!$M:$M,0))&amp;" | "&amp;INDEX(Turmas!$L:$L,MATCH(B485,Turmas!$M:$M,0))</f>
        <v>CICLO I  -  1º ANO | MANHÃ</v>
      </c>
    </row>
    <row r="486" customFormat="false" ht="15" hidden="false" customHeight="false" outlineLevel="0" collapsed="false">
      <c r="A486" s="28" t="str">
        <f aca="false">B486&amp;"|"&amp;C486</f>
        <v>C11102|9</v>
      </c>
      <c r="B486" s="28" t="s">
        <v>78</v>
      </c>
      <c r="C486" s="28" t="n">
        <v>9</v>
      </c>
      <c r="D486" s="28" t="s">
        <v>102</v>
      </c>
      <c r="E486" s="28" t="s">
        <v>104</v>
      </c>
      <c r="F486" s="28" t="s">
        <v>95</v>
      </c>
      <c r="G486" s="29"/>
      <c r="H486" s="29"/>
      <c r="I486" s="28"/>
      <c r="J486" s="28" t="str">
        <f aca="false">INDEX(Turmas!$K:$K,MATCH(B486,Turmas!$M:$M,0))&amp;" | "&amp;INDEX(Turmas!$L:$L,MATCH(B486,Turmas!$M:$M,0))</f>
        <v>CICLO I  -  1º ANO | MANHÃ</v>
      </c>
    </row>
    <row r="487" customFormat="false" ht="15" hidden="false" customHeight="false" outlineLevel="0" collapsed="false">
      <c r="A487" s="28" t="str">
        <f aca="false">B487&amp;"|"&amp;C487</f>
        <v>C11102|10</v>
      </c>
      <c r="B487" s="28" t="s">
        <v>78</v>
      </c>
      <c r="C487" s="28" t="n">
        <v>10</v>
      </c>
      <c r="D487" s="28" t="s">
        <v>102</v>
      </c>
      <c r="E487" s="28" t="s">
        <v>105</v>
      </c>
      <c r="F487" s="28" t="s">
        <v>95</v>
      </c>
      <c r="G487" s="29"/>
      <c r="H487" s="29"/>
      <c r="I487" s="28"/>
      <c r="J487" s="28" t="str">
        <f aca="false">INDEX(Turmas!$K:$K,MATCH(B487,Turmas!$M:$M,0))&amp;" | "&amp;INDEX(Turmas!$L:$L,MATCH(B487,Turmas!$M:$M,0))</f>
        <v>CICLO I  -  1º ANO | MANHÃ</v>
      </c>
    </row>
    <row r="488" customFormat="false" ht="15" hidden="false" customHeight="false" outlineLevel="0" collapsed="false">
      <c r="A488" s="28" t="str">
        <f aca="false">B488&amp;"|"&amp;C488</f>
        <v>C11102|11</v>
      </c>
      <c r="B488" s="28" t="s">
        <v>78</v>
      </c>
      <c r="C488" s="28" t="n">
        <v>11</v>
      </c>
      <c r="D488" s="28" t="s">
        <v>102</v>
      </c>
      <c r="E488" s="28" t="s">
        <v>106</v>
      </c>
      <c r="F488" s="28" t="s">
        <v>95</v>
      </c>
      <c r="G488" s="29"/>
      <c r="H488" s="29"/>
      <c r="I488" s="28"/>
      <c r="J488" s="28" t="str">
        <f aca="false">INDEX(Turmas!$K:$K,MATCH(B488,Turmas!$M:$M,0))&amp;" | "&amp;INDEX(Turmas!$L:$L,MATCH(B488,Turmas!$M:$M,0))</f>
        <v>CICLO I  -  1º ANO | MANHÃ</v>
      </c>
    </row>
    <row r="489" customFormat="false" ht="15" hidden="false" customHeight="false" outlineLevel="0" collapsed="false">
      <c r="A489" s="28" t="str">
        <f aca="false">B489&amp;"|"&amp;C489</f>
        <v>C11102|12</v>
      </c>
      <c r="B489" s="28" t="s">
        <v>78</v>
      </c>
      <c r="C489" s="28" t="n">
        <v>12</v>
      </c>
      <c r="D489" s="28" t="s">
        <v>102</v>
      </c>
      <c r="E489" s="28" t="s">
        <v>107</v>
      </c>
      <c r="F489" s="28" t="s">
        <v>95</v>
      </c>
      <c r="G489" s="29"/>
      <c r="H489" s="29"/>
      <c r="I489" s="28"/>
      <c r="J489" s="28" t="str">
        <f aca="false">INDEX(Turmas!$K:$K,MATCH(B489,Turmas!$M:$M,0))&amp;" | "&amp;INDEX(Turmas!$L:$L,MATCH(B489,Turmas!$M:$M,0))</f>
        <v>CICLO I  -  1º ANO | MANHÃ</v>
      </c>
    </row>
    <row r="490" customFormat="false" ht="15" hidden="false" customHeight="false" outlineLevel="0" collapsed="false">
      <c r="A490" s="28" t="str">
        <f aca="false">B490&amp;"|"&amp;C490</f>
        <v>C11102|13</v>
      </c>
      <c r="B490" s="28" t="s">
        <v>78</v>
      </c>
      <c r="C490" s="28" t="n">
        <v>13</v>
      </c>
      <c r="D490" s="28" t="s">
        <v>102</v>
      </c>
      <c r="E490" s="28" t="s">
        <v>108</v>
      </c>
      <c r="F490" s="28" t="s">
        <v>95</v>
      </c>
      <c r="G490" s="29"/>
      <c r="H490" s="29"/>
      <c r="I490" s="28"/>
      <c r="J490" s="28" t="str">
        <f aca="false">INDEX(Turmas!$K:$K,MATCH(B490,Turmas!$M:$M,0))&amp;" | "&amp;INDEX(Turmas!$L:$L,MATCH(B490,Turmas!$M:$M,0))</f>
        <v>CICLO I  -  1º ANO | MANHÃ</v>
      </c>
    </row>
    <row r="491" customFormat="false" ht="15" hidden="false" customHeight="false" outlineLevel="0" collapsed="false">
      <c r="A491" s="28" t="str">
        <f aca="false">B491&amp;"|"&amp;C491</f>
        <v>C11102|14</v>
      </c>
      <c r="B491" s="28" t="s">
        <v>78</v>
      </c>
      <c r="C491" s="28" t="n">
        <v>14</v>
      </c>
      <c r="D491" s="28" t="s">
        <v>102</v>
      </c>
      <c r="E491" s="28" t="s">
        <v>109</v>
      </c>
      <c r="F491" s="28" t="s">
        <v>95</v>
      </c>
      <c r="G491" s="29"/>
      <c r="H491" s="29"/>
      <c r="I491" s="28"/>
      <c r="J491" s="28" t="str">
        <f aca="false">INDEX(Turmas!$K:$K,MATCH(B491,Turmas!$M:$M,0))&amp;" | "&amp;INDEX(Turmas!$L:$L,MATCH(B491,Turmas!$M:$M,0))</f>
        <v>CICLO I  -  1º ANO | MANHÃ</v>
      </c>
    </row>
    <row r="492" customFormat="false" ht="15" hidden="false" customHeight="false" outlineLevel="0" collapsed="false">
      <c r="A492" s="28" t="str">
        <f aca="false">B492&amp;"|"&amp;C492</f>
        <v>C11102|15</v>
      </c>
      <c r="B492" s="28" t="s">
        <v>78</v>
      </c>
      <c r="C492" s="28" t="n">
        <v>15</v>
      </c>
      <c r="D492" s="28" t="s">
        <v>102</v>
      </c>
      <c r="E492" s="28" t="s">
        <v>110</v>
      </c>
      <c r="F492" s="28" t="s">
        <v>95</v>
      </c>
      <c r="G492" s="29"/>
      <c r="H492" s="29"/>
      <c r="I492" s="28"/>
      <c r="J492" s="28" t="str">
        <f aca="false">INDEX(Turmas!$K:$K,MATCH(B492,Turmas!$M:$M,0))&amp;" | "&amp;INDEX(Turmas!$L:$L,MATCH(B492,Turmas!$M:$M,0))</f>
        <v>CICLO I  -  1º ANO | MANHÃ</v>
      </c>
    </row>
    <row r="493" customFormat="false" ht="15" hidden="false" customHeight="false" outlineLevel="0" collapsed="false">
      <c r="A493" s="28" t="str">
        <f aca="false">B493&amp;"|"&amp;C493</f>
        <v>C11102|16</v>
      </c>
      <c r="B493" s="28" t="s">
        <v>78</v>
      </c>
      <c r="C493" s="28" t="n">
        <v>16</v>
      </c>
      <c r="D493" s="28" t="s">
        <v>111</v>
      </c>
      <c r="E493" s="28" t="s">
        <v>112</v>
      </c>
      <c r="F493" s="28" t="s">
        <v>95</v>
      </c>
      <c r="G493" s="29"/>
      <c r="H493" s="29"/>
      <c r="I493" s="28"/>
      <c r="J493" s="28" t="str">
        <f aca="false">INDEX(Turmas!$K:$K,MATCH(B493,Turmas!$M:$M,0))&amp;" | "&amp;INDEX(Turmas!$L:$L,MATCH(B493,Turmas!$M:$M,0))</f>
        <v>CICLO I  -  1º ANO | MANHÃ</v>
      </c>
    </row>
    <row r="494" customFormat="false" ht="15" hidden="false" customHeight="false" outlineLevel="0" collapsed="false">
      <c r="A494" s="28" t="str">
        <f aca="false">B494&amp;"|"&amp;C494</f>
        <v>C11102|17</v>
      </c>
      <c r="B494" s="28" t="s">
        <v>78</v>
      </c>
      <c r="C494" s="28" t="n">
        <v>17</v>
      </c>
      <c r="D494" s="28" t="s">
        <v>111</v>
      </c>
      <c r="E494" s="28" t="s">
        <v>113</v>
      </c>
      <c r="F494" s="28" t="s">
        <v>95</v>
      </c>
      <c r="G494" s="29"/>
      <c r="H494" s="29"/>
      <c r="I494" s="28"/>
      <c r="J494" s="28" t="str">
        <f aca="false">INDEX(Turmas!$K:$K,MATCH(B494,Turmas!$M:$M,0))&amp;" | "&amp;INDEX(Turmas!$L:$L,MATCH(B494,Turmas!$M:$M,0))</f>
        <v>CICLO I  -  1º ANO | MANHÃ</v>
      </c>
    </row>
    <row r="495" customFormat="false" ht="15" hidden="false" customHeight="false" outlineLevel="0" collapsed="false">
      <c r="A495" s="28" t="str">
        <f aca="false">B495&amp;"|"&amp;C495</f>
        <v>C11102|18</v>
      </c>
      <c r="B495" s="28" t="s">
        <v>78</v>
      </c>
      <c r="C495" s="28" t="n">
        <v>18</v>
      </c>
      <c r="D495" s="28" t="s">
        <v>111</v>
      </c>
      <c r="E495" s="28" t="s">
        <v>114</v>
      </c>
      <c r="F495" s="28" t="s">
        <v>95</v>
      </c>
      <c r="G495" s="29"/>
      <c r="H495" s="29"/>
      <c r="I495" s="28"/>
      <c r="J495" s="28" t="str">
        <f aca="false">INDEX(Turmas!$K:$K,MATCH(B495,Turmas!$M:$M,0))&amp;" | "&amp;INDEX(Turmas!$L:$L,MATCH(B495,Turmas!$M:$M,0))</f>
        <v>CICLO I  -  1º ANO | MANHÃ</v>
      </c>
    </row>
    <row r="496" customFormat="false" ht="15" hidden="false" customHeight="false" outlineLevel="0" collapsed="false">
      <c r="A496" s="28" t="str">
        <f aca="false">B496&amp;"|"&amp;C496</f>
        <v>C11102|19</v>
      </c>
      <c r="B496" s="28" t="s">
        <v>78</v>
      </c>
      <c r="C496" s="28" t="n">
        <v>19</v>
      </c>
      <c r="D496" s="28" t="s">
        <v>111</v>
      </c>
      <c r="E496" s="28" t="s">
        <v>115</v>
      </c>
      <c r="F496" s="28" t="s">
        <v>95</v>
      </c>
      <c r="G496" s="29"/>
      <c r="H496" s="29"/>
      <c r="I496" s="28"/>
      <c r="J496" s="28" t="str">
        <f aca="false">INDEX(Turmas!$K:$K,MATCH(B496,Turmas!$M:$M,0))&amp;" | "&amp;INDEX(Turmas!$L:$L,MATCH(B496,Turmas!$M:$M,0))</f>
        <v>CICLO I  -  1º ANO | MANHÃ</v>
      </c>
    </row>
    <row r="497" customFormat="false" ht="15" hidden="false" customHeight="false" outlineLevel="0" collapsed="false">
      <c r="A497" s="28" t="str">
        <f aca="false">B497&amp;"|"&amp;C497</f>
        <v>C11102|20</v>
      </c>
      <c r="B497" s="28" t="s">
        <v>78</v>
      </c>
      <c r="C497" s="28" t="n">
        <v>20</v>
      </c>
      <c r="D497" s="28" t="s">
        <v>111</v>
      </c>
      <c r="E497" s="28" t="s">
        <v>116</v>
      </c>
      <c r="F497" s="28" t="s">
        <v>95</v>
      </c>
      <c r="G497" s="29"/>
      <c r="H497" s="29"/>
      <c r="I497" s="28"/>
      <c r="J497" s="28" t="str">
        <f aca="false">INDEX(Turmas!$K:$K,MATCH(B497,Turmas!$M:$M,0))&amp;" | "&amp;INDEX(Turmas!$L:$L,MATCH(B497,Turmas!$M:$M,0))</f>
        <v>CICLO I  -  1º ANO | MANHÃ</v>
      </c>
    </row>
    <row r="498" customFormat="false" ht="15" hidden="false" customHeight="false" outlineLevel="0" collapsed="false">
      <c r="A498" s="28" t="str">
        <f aca="false">B498&amp;"|"&amp;C498</f>
        <v>C11102|21</v>
      </c>
      <c r="B498" s="28" t="s">
        <v>78</v>
      </c>
      <c r="C498" s="28" t="n">
        <v>21</v>
      </c>
      <c r="D498" s="28" t="s">
        <v>111</v>
      </c>
      <c r="E498" s="28" t="s">
        <v>117</v>
      </c>
      <c r="F498" s="28" t="s">
        <v>95</v>
      </c>
      <c r="G498" s="29"/>
      <c r="H498" s="29"/>
      <c r="I498" s="28"/>
      <c r="J498" s="28" t="str">
        <f aca="false">INDEX(Turmas!$K:$K,MATCH(B498,Turmas!$M:$M,0))&amp;" | "&amp;INDEX(Turmas!$L:$L,MATCH(B498,Turmas!$M:$M,0))</f>
        <v>CICLO I  -  1º ANO | MANHÃ</v>
      </c>
    </row>
    <row r="499" customFormat="false" ht="15" hidden="false" customHeight="false" outlineLevel="0" collapsed="false">
      <c r="A499" s="28" t="str">
        <f aca="false">B499&amp;"|"&amp;C499</f>
        <v>C11102|22</v>
      </c>
      <c r="B499" s="28" t="s">
        <v>78</v>
      </c>
      <c r="C499" s="28" t="n">
        <v>22</v>
      </c>
      <c r="D499" s="28" t="s">
        <v>111</v>
      </c>
      <c r="E499" s="28" t="s">
        <v>118</v>
      </c>
      <c r="F499" s="28" t="s">
        <v>95</v>
      </c>
      <c r="G499" s="29"/>
      <c r="H499" s="29"/>
      <c r="I499" s="28"/>
      <c r="J499" s="28" t="str">
        <f aca="false">INDEX(Turmas!$K:$K,MATCH(B499,Turmas!$M:$M,0))&amp;" | "&amp;INDEX(Turmas!$L:$L,MATCH(B499,Turmas!$M:$M,0))</f>
        <v>CICLO I  -  1º ANO | MANHÃ</v>
      </c>
    </row>
    <row r="500" customFormat="false" ht="15" hidden="false" customHeight="false" outlineLevel="0" collapsed="false">
      <c r="A500" s="28" t="str">
        <f aca="false">B500&amp;"|"&amp;C500</f>
        <v>C11102|23</v>
      </c>
      <c r="B500" s="28" t="s">
        <v>78</v>
      </c>
      <c r="C500" s="28" t="n">
        <v>23</v>
      </c>
      <c r="D500" s="28" t="s">
        <v>111</v>
      </c>
      <c r="E500" s="28" t="s">
        <v>119</v>
      </c>
      <c r="F500" s="28" t="s">
        <v>95</v>
      </c>
      <c r="G500" s="29"/>
      <c r="H500" s="29"/>
      <c r="I500" s="28"/>
      <c r="J500" s="28" t="str">
        <f aca="false">INDEX(Turmas!$K:$K,MATCH(B500,Turmas!$M:$M,0))&amp;" | "&amp;INDEX(Turmas!$L:$L,MATCH(B500,Turmas!$M:$M,0))</f>
        <v>CICLO I  -  1º ANO | MANHÃ</v>
      </c>
    </row>
    <row r="501" customFormat="false" ht="15" hidden="false" customHeight="false" outlineLevel="0" collapsed="false">
      <c r="A501" s="28" t="str">
        <f aca="false">B501&amp;"|"&amp;C501</f>
        <v>C11102|24</v>
      </c>
      <c r="B501" s="28" t="s">
        <v>78</v>
      </c>
      <c r="C501" s="28" t="n">
        <v>24</v>
      </c>
      <c r="D501" s="28" t="s">
        <v>111</v>
      </c>
      <c r="E501" s="28" t="s">
        <v>120</v>
      </c>
      <c r="F501" s="28" t="s">
        <v>95</v>
      </c>
      <c r="G501" s="29"/>
      <c r="H501" s="29"/>
      <c r="I501" s="28"/>
      <c r="J501" s="28" t="str">
        <f aca="false">INDEX(Turmas!$K:$K,MATCH(B501,Turmas!$M:$M,0))&amp;" | "&amp;INDEX(Turmas!$L:$L,MATCH(B501,Turmas!$M:$M,0))</f>
        <v>CICLO I  -  1º ANO | MANHÃ</v>
      </c>
    </row>
    <row r="502" customFormat="false" ht="15" hidden="false" customHeight="false" outlineLevel="0" collapsed="false">
      <c r="A502" s="28" t="str">
        <f aca="false">B502&amp;"|"&amp;C502</f>
        <v>C11102|25</v>
      </c>
      <c r="B502" s="28" t="s">
        <v>78</v>
      </c>
      <c r="C502" s="28" t="n">
        <v>25</v>
      </c>
      <c r="D502" s="28" t="s">
        <v>121</v>
      </c>
      <c r="E502" s="28" t="s">
        <v>122</v>
      </c>
      <c r="F502" s="28" t="s">
        <v>95</v>
      </c>
      <c r="G502" s="29"/>
      <c r="H502" s="29"/>
      <c r="I502" s="28"/>
      <c r="J502" s="28" t="str">
        <f aca="false">INDEX(Turmas!$K:$K,MATCH(B502,Turmas!$M:$M,0))&amp;" | "&amp;INDEX(Turmas!$L:$L,MATCH(B502,Turmas!$M:$M,0))</f>
        <v>CICLO I  -  1º ANO | MANHÃ</v>
      </c>
    </row>
    <row r="503" customFormat="false" ht="15" hidden="false" customHeight="false" outlineLevel="0" collapsed="false">
      <c r="A503" s="28" t="str">
        <f aca="false">B503&amp;"|"&amp;C503</f>
        <v>C11102|26</v>
      </c>
      <c r="B503" s="28" t="s">
        <v>78</v>
      </c>
      <c r="C503" s="28" t="n">
        <v>26</v>
      </c>
      <c r="D503" s="28" t="s">
        <v>121</v>
      </c>
      <c r="E503" s="28" t="s">
        <v>123</v>
      </c>
      <c r="F503" s="28" t="s">
        <v>95</v>
      </c>
      <c r="G503" s="29"/>
      <c r="H503" s="29"/>
      <c r="I503" s="28"/>
      <c r="J503" s="28" t="str">
        <f aca="false">INDEX(Turmas!$K:$K,MATCH(B503,Turmas!$M:$M,0))&amp;" | "&amp;INDEX(Turmas!$L:$L,MATCH(B503,Turmas!$M:$M,0))</f>
        <v>CICLO I  -  1º ANO | MANHÃ</v>
      </c>
    </row>
    <row r="504" customFormat="false" ht="15" hidden="false" customHeight="false" outlineLevel="0" collapsed="false">
      <c r="A504" s="28" t="str">
        <f aca="false">B504&amp;"|"&amp;C504</f>
        <v>C11102|27</v>
      </c>
      <c r="B504" s="28" t="s">
        <v>78</v>
      </c>
      <c r="C504" s="28" t="n">
        <v>27</v>
      </c>
      <c r="D504" s="28" t="s">
        <v>121</v>
      </c>
      <c r="E504" s="28" t="s">
        <v>124</v>
      </c>
      <c r="F504" s="28" t="s">
        <v>95</v>
      </c>
      <c r="G504" s="29"/>
      <c r="H504" s="29"/>
      <c r="I504" s="28"/>
      <c r="J504" s="28" t="str">
        <f aca="false">INDEX(Turmas!$K:$K,MATCH(B504,Turmas!$M:$M,0))&amp;" | "&amp;INDEX(Turmas!$L:$L,MATCH(B504,Turmas!$M:$M,0))</f>
        <v>CICLO I  -  1º ANO | MANHÃ</v>
      </c>
    </row>
    <row r="505" customFormat="false" ht="15" hidden="false" customHeight="false" outlineLevel="0" collapsed="false">
      <c r="A505" s="28" t="str">
        <f aca="false">B505&amp;"|"&amp;C505</f>
        <v>C11102|28</v>
      </c>
      <c r="B505" s="28" t="s">
        <v>78</v>
      </c>
      <c r="C505" s="28" t="n">
        <v>28</v>
      </c>
      <c r="D505" s="28" t="s">
        <v>121</v>
      </c>
      <c r="E505" s="28" t="s">
        <v>125</v>
      </c>
      <c r="F505" s="28" t="s">
        <v>95</v>
      </c>
      <c r="G505" s="29"/>
      <c r="H505" s="29"/>
      <c r="I505" s="28"/>
      <c r="J505" s="28" t="str">
        <f aca="false">INDEX(Turmas!$K:$K,MATCH(B505,Turmas!$M:$M,0))&amp;" | "&amp;INDEX(Turmas!$L:$L,MATCH(B505,Turmas!$M:$M,0))</f>
        <v>CICLO I  -  1º ANO | MANHÃ</v>
      </c>
    </row>
    <row r="506" customFormat="false" ht="15" hidden="false" customHeight="false" outlineLevel="0" collapsed="false">
      <c r="A506" s="28" t="str">
        <f aca="false">B506&amp;"|"&amp;C506</f>
        <v>C11102|29</v>
      </c>
      <c r="B506" s="28" t="s">
        <v>78</v>
      </c>
      <c r="C506" s="28" t="n">
        <v>29</v>
      </c>
      <c r="D506" s="28" t="s">
        <v>121</v>
      </c>
      <c r="E506" s="28" t="s">
        <v>126</v>
      </c>
      <c r="F506" s="28" t="s">
        <v>95</v>
      </c>
      <c r="G506" s="29"/>
      <c r="H506" s="29"/>
      <c r="I506" s="28"/>
      <c r="J506" s="28" t="str">
        <f aca="false">INDEX(Turmas!$K:$K,MATCH(B506,Turmas!$M:$M,0))&amp;" | "&amp;INDEX(Turmas!$L:$L,MATCH(B506,Turmas!$M:$M,0))</f>
        <v>CICLO I  -  1º ANO | MANHÃ</v>
      </c>
    </row>
    <row r="507" customFormat="false" ht="15" hidden="false" customHeight="false" outlineLevel="0" collapsed="false">
      <c r="A507" s="28" t="str">
        <f aca="false">B507&amp;"|"&amp;C507</f>
        <v>C11102|30</v>
      </c>
      <c r="B507" s="28" t="s">
        <v>78</v>
      </c>
      <c r="C507" s="28" t="n">
        <v>30</v>
      </c>
      <c r="D507" s="28" t="s">
        <v>127</v>
      </c>
      <c r="E507" s="28" t="s">
        <v>128</v>
      </c>
      <c r="F507" s="28" t="s">
        <v>95</v>
      </c>
      <c r="G507" s="29"/>
      <c r="H507" s="29"/>
      <c r="I507" s="28"/>
      <c r="J507" s="28" t="str">
        <f aca="false">INDEX(Turmas!$K:$K,MATCH(B507,Turmas!$M:$M,0))&amp;" | "&amp;INDEX(Turmas!$L:$L,MATCH(B507,Turmas!$M:$M,0))</f>
        <v>CICLO I  -  1º ANO | MANHÃ</v>
      </c>
    </row>
    <row r="508" customFormat="false" ht="15" hidden="false" customHeight="false" outlineLevel="0" collapsed="false">
      <c r="A508" s="28" t="str">
        <f aca="false">B508&amp;"|"&amp;C508</f>
        <v>C11102|31</v>
      </c>
      <c r="B508" s="28" t="s">
        <v>78</v>
      </c>
      <c r="C508" s="28" t="n">
        <v>31</v>
      </c>
      <c r="D508" s="28" t="s">
        <v>127</v>
      </c>
      <c r="E508" s="28" t="s">
        <v>108</v>
      </c>
      <c r="F508" s="28" t="s">
        <v>95</v>
      </c>
      <c r="G508" s="29"/>
      <c r="H508" s="29"/>
      <c r="I508" s="28"/>
      <c r="J508" s="28" t="str">
        <f aca="false">INDEX(Turmas!$K:$K,MATCH(B508,Turmas!$M:$M,0))&amp;" | "&amp;INDEX(Turmas!$L:$L,MATCH(B508,Turmas!$M:$M,0))</f>
        <v>CICLO I  -  1º ANO | MANHÃ</v>
      </c>
    </row>
    <row r="509" customFormat="false" ht="15" hidden="false" customHeight="false" outlineLevel="0" collapsed="false">
      <c r="A509" s="28" t="str">
        <f aca="false">B509&amp;"|"&amp;C509</f>
        <v>C11102|32</v>
      </c>
      <c r="B509" s="28" t="s">
        <v>78</v>
      </c>
      <c r="C509" s="28" t="n">
        <v>32</v>
      </c>
      <c r="D509" s="28" t="s">
        <v>127</v>
      </c>
      <c r="E509" s="28" t="s">
        <v>129</v>
      </c>
      <c r="F509" s="28" t="s">
        <v>95</v>
      </c>
      <c r="G509" s="29"/>
      <c r="H509" s="29"/>
      <c r="I509" s="28"/>
      <c r="J509" s="28" t="str">
        <f aca="false">INDEX(Turmas!$K:$K,MATCH(B509,Turmas!$M:$M,0))&amp;" | "&amp;INDEX(Turmas!$L:$L,MATCH(B509,Turmas!$M:$M,0))</f>
        <v>CICLO I  -  1º ANO | MANHÃ</v>
      </c>
    </row>
    <row r="510" customFormat="false" ht="15" hidden="false" customHeight="false" outlineLevel="0" collapsed="false">
      <c r="A510" s="28" t="str">
        <f aca="false">B510&amp;"|"&amp;C510</f>
        <v>C11102|33</v>
      </c>
      <c r="B510" s="28" t="s">
        <v>78</v>
      </c>
      <c r="C510" s="28" t="n">
        <v>33</v>
      </c>
      <c r="D510" s="28" t="s">
        <v>127</v>
      </c>
      <c r="E510" s="28" t="s">
        <v>130</v>
      </c>
      <c r="F510" s="28" t="s">
        <v>95</v>
      </c>
      <c r="G510" s="29"/>
      <c r="H510" s="29"/>
      <c r="I510" s="28"/>
      <c r="J510" s="28" t="str">
        <f aca="false">INDEX(Turmas!$K:$K,MATCH(B510,Turmas!$M:$M,0))&amp;" | "&amp;INDEX(Turmas!$L:$L,MATCH(B510,Turmas!$M:$M,0))</f>
        <v>CICLO I  -  1º ANO | MANHÃ</v>
      </c>
    </row>
    <row r="511" customFormat="false" ht="15" hidden="false" customHeight="false" outlineLevel="0" collapsed="false">
      <c r="A511" s="28" t="str">
        <f aca="false">B511&amp;"|"&amp;C511</f>
        <v>C11102|34</v>
      </c>
      <c r="B511" s="28" t="s">
        <v>78</v>
      </c>
      <c r="C511" s="28" t="n">
        <v>34</v>
      </c>
      <c r="D511" s="28" t="s">
        <v>127</v>
      </c>
      <c r="E511" s="28" t="s">
        <v>131</v>
      </c>
      <c r="F511" s="28" t="s">
        <v>95</v>
      </c>
      <c r="G511" s="29"/>
      <c r="H511" s="29"/>
      <c r="I511" s="28"/>
      <c r="J511" s="28" t="str">
        <f aca="false">INDEX(Turmas!$K:$K,MATCH(B511,Turmas!$M:$M,0))&amp;" | "&amp;INDEX(Turmas!$L:$L,MATCH(B511,Turmas!$M:$M,0))</f>
        <v>CICLO I  -  1º ANO | MANHÃ</v>
      </c>
    </row>
    <row r="512" customFormat="false" ht="15" hidden="false" customHeight="false" outlineLevel="0" collapsed="false">
      <c r="A512" s="28" t="str">
        <f aca="false">B512&amp;"|"&amp;C512</f>
        <v>C11101|1</v>
      </c>
      <c r="B512" s="28" t="s">
        <v>79</v>
      </c>
      <c r="C512" s="28" t="n">
        <v>1</v>
      </c>
      <c r="D512" s="28" t="s">
        <v>93</v>
      </c>
      <c r="E512" s="28" t="s">
        <v>94</v>
      </c>
      <c r="F512" s="28" t="s">
        <v>95</v>
      </c>
      <c r="G512" s="29"/>
      <c r="H512" s="29"/>
      <c r="I512" s="28"/>
      <c r="J512" s="28" t="str">
        <f aca="false">INDEX(Turmas!$K:$K,MATCH(B512,Turmas!$M:$M,0))&amp;" | "&amp;INDEX(Turmas!$L:$L,MATCH(B512,Turmas!$M:$M,0))</f>
        <v>CICLO I  -  1º ANO | MANHÃ</v>
      </c>
    </row>
    <row r="513" customFormat="false" ht="15" hidden="false" customHeight="false" outlineLevel="0" collapsed="false">
      <c r="A513" s="28" t="str">
        <f aca="false">B513&amp;"|"&amp;C513</f>
        <v>C11101|2</v>
      </c>
      <c r="B513" s="28" t="s">
        <v>79</v>
      </c>
      <c r="C513" s="28" t="n">
        <v>2</v>
      </c>
      <c r="D513" s="28" t="s">
        <v>93</v>
      </c>
      <c r="E513" s="28" t="s">
        <v>96</v>
      </c>
      <c r="F513" s="28" t="s">
        <v>95</v>
      </c>
      <c r="G513" s="29"/>
      <c r="H513" s="29"/>
      <c r="I513" s="28"/>
      <c r="J513" s="28" t="str">
        <f aca="false">INDEX(Turmas!$K:$K,MATCH(B513,Turmas!$M:$M,0))&amp;" | "&amp;INDEX(Turmas!$L:$L,MATCH(B513,Turmas!$M:$M,0))</f>
        <v>CICLO I  -  1º ANO | MANHÃ</v>
      </c>
    </row>
    <row r="514" customFormat="false" ht="15" hidden="false" customHeight="false" outlineLevel="0" collapsed="false">
      <c r="A514" s="28" t="str">
        <f aca="false">B514&amp;"|"&amp;C514</f>
        <v>C11101|3</v>
      </c>
      <c r="B514" s="28" t="s">
        <v>79</v>
      </c>
      <c r="C514" s="28" t="n">
        <v>3</v>
      </c>
      <c r="D514" s="28" t="s">
        <v>93</v>
      </c>
      <c r="E514" s="28" t="s">
        <v>97</v>
      </c>
      <c r="F514" s="28" t="s">
        <v>95</v>
      </c>
      <c r="G514" s="29"/>
      <c r="H514" s="29"/>
      <c r="I514" s="28"/>
      <c r="J514" s="28" t="str">
        <f aca="false">INDEX(Turmas!$K:$K,MATCH(B514,Turmas!$M:$M,0))&amp;" | "&amp;INDEX(Turmas!$L:$L,MATCH(B514,Turmas!$M:$M,0))</f>
        <v>CICLO I  -  1º ANO | MANHÃ</v>
      </c>
    </row>
    <row r="515" customFormat="false" ht="15" hidden="false" customHeight="false" outlineLevel="0" collapsed="false">
      <c r="A515" s="28" t="str">
        <f aca="false">B515&amp;"|"&amp;C515</f>
        <v>C11101|4</v>
      </c>
      <c r="B515" s="28" t="s">
        <v>79</v>
      </c>
      <c r="C515" s="28" t="n">
        <v>4</v>
      </c>
      <c r="D515" s="28" t="s">
        <v>93</v>
      </c>
      <c r="E515" s="28" t="s">
        <v>98</v>
      </c>
      <c r="F515" s="28" t="s">
        <v>95</v>
      </c>
      <c r="G515" s="29"/>
      <c r="H515" s="29"/>
      <c r="I515" s="28"/>
      <c r="J515" s="28" t="str">
        <f aca="false">INDEX(Turmas!$K:$K,MATCH(B515,Turmas!$M:$M,0))&amp;" | "&amp;INDEX(Turmas!$L:$L,MATCH(B515,Turmas!$M:$M,0))</f>
        <v>CICLO I  -  1º ANO | MANHÃ</v>
      </c>
    </row>
    <row r="516" customFormat="false" ht="15" hidden="false" customHeight="false" outlineLevel="0" collapsed="false">
      <c r="A516" s="28" t="str">
        <f aca="false">B516&amp;"|"&amp;C516</f>
        <v>C11101|5</v>
      </c>
      <c r="B516" s="28" t="s">
        <v>79</v>
      </c>
      <c r="C516" s="28" t="n">
        <v>5</v>
      </c>
      <c r="D516" s="28" t="s">
        <v>93</v>
      </c>
      <c r="E516" s="28" t="s">
        <v>99</v>
      </c>
      <c r="F516" s="28" t="s">
        <v>95</v>
      </c>
      <c r="G516" s="29"/>
      <c r="H516" s="29"/>
      <c r="I516" s="28"/>
      <c r="J516" s="28" t="str">
        <f aca="false">INDEX(Turmas!$K:$K,MATCH(B516,Turmas!$M:$M,0))&amp;" | "&amp;INDEX(Turmas!$L:$L,MATCH(B516,Turmas!$M:$M,0))</f>
        <v>CICLO I  -  1º ANO | MANHÃ</v>
      </c>
    </row>
    <row r="517" customFormat="false" ht="15" hidden="false" customHeight="false" outlineLevel="0" collapsed="false">
      <c r="A517" s="28" t="str">
        <f aca="false">B517&amp;"|"&amp;C517</f>
        <v>C11101|6</v>
      </c>
      <c r="B517" s="28" t="s">
        <v>79</v>
      </c>
      <c r="C517" s="28" t="n">
        <v>6</v>
      </c>
      <c r="D517" s="28" t="s">
        <v>93</v>
      </c>
      <c r="E517" s="28" t="s">
        <v>100</v>
      </c>
      <c r="F517" s="28" t="s">
        <v>95</v>
      </c>
      <c r="G517" s="29"/>
      <c r="H517" s="29"/>
      <c r="I517" s="28"/>
      <c r="J517" s="28" t="str">
        <f aca="false">INDEX(Turmas!$K:$K,MATCH(B517,Turmas!$M:$M,0))&amp;" | "&amp;INDEX(Turmas!$L:$L,MATCH(B517,Turmas!$M:$M,0))</f>
        <v>CICLO I  -  1º ANO | MANHÃ</v>
      </c>
    </row>
    <row r="518" customFormat="false" ht="15" hidden="false" customHeight="false" outlineLevel="0" collapsed="false">
      <c r="A518" s="28" t="str">
        <f aca="false">B518&amp;"|"&amp;C518</f>
        <v>C11101|7</v>
      </c>
      <c r="B518" s="28" t="s">
        <v>79</v>
      </c>
      <c r="C518" s="28" t="n">
        <v>7</v>
      </c>
      <c r="D518" s="28" t="s">
        <v>93</v>
      </c>
      <c r="E518" s="28" t="s">
        <v>101</v>
      </c>
      <c r="F518" s="28" t="s">
        <v>95</v>
      </c>
      <c r="G518" s="29"/>
      <c r="H518" s="29"/>
      <c r="I518" s="28"/>
      <c r="J518" s="28" t="str">
        <f aca="false">INDEX(Turmas!$K:$K,MATCH(B518,Turmas!$M:$M,0))&amp;" | "&amp;INDEX(Turmas!$L:$L,MATCH(B518,Turmas!$M:$M,0))</f>
        <v>CICLO I  -  1º ANO | MANHÃ</v>
      </c>
    </row>
    <row r="519" customFormat="false" ht="15" hidden="false" customHeight="false" outlineLevel="0" collapsed="false">
      <c r="A519" s="28" t="str">
        <f aca="false">B519&amp;"|"&amp;C519</f>
        <v>C11101|8</v>
      </c>
      <c r="B519" s="28" t="s">
        <v>79</v>
      </c>
      <c r="C519" s="28" t="n">
        <v>8</v>
      </c>
      <c r="D519" s="28" t="s">
        <v>102</v>
      </c>
      <c r="E519" s="28" t="s">
        <v>103</v>
      </c>
      <c r="F519" s="28" t="s">
        <v>95</v>
      </c>
      <c r="G519" s="29"/>
      <c r="H519" s="29"/>
      <c r="I519" s="28"/>
      <c r="J519" s="28" t="str">
        <f aca="false">INDEX(Turmas!$K:$K,MATCH(B519,Turmas!$M:$M,0))&amp;" | "&amp;INDEX(Turmas!$L:$L,MATCH(B519,Turmas!$M:$M,0))</f>
        <v>CICLO I  -  1º ANO | MANHÃ</v>
      </c>
    </row>
    <row r="520" customFormat="false" ht="15" hidden="false" customHeight="false" outlineLevel="0" collapsed="false">
      <c r="A520" s="28" t="str">
        <f aca="false">B520&amp;"|"&amp;C520</f>
        <v>C11101|9</v>
      </c>
      <c r="B520" s="28" t="s">
        <v>79</v>
      </c>
      <c r="C520" s="28" t="n">
        <v>9</v>
      </c>
      <c r="D520" s="28" t="s">
        <v>102</v>
      </c>
      <c r="E520" s="28" t="s">
        <v>104</v>
      </c>
      <c r="F520" s="28" t="s">
        <v>95</v>
      </c>
      <c r="G520" s="29"/>
      <c r="H520" s="29"/>
      <c r="I520" s="28"/>
      <c r="J520" s="28" t="str">
        <f aca="false">INDEX(Turmas!$K:$K,MATCH(B520,Turmas!$M:$M,0))&amp;" | "&amp;INDEX(Turmas!$L:$L,MATCH(B520,Turmas!$M:$M,0))</f>
        <v>CICLO I  -  1º ANO | MANHÃ</v>
      </c>
    </row>
    <row r="521" customFormat="false" ht="15" hidden="false" customHeight="false" outlineLevel="0" collapsed="false">
      <c r="A521" s="28" t="str">
        <f aca="false">B521&amp;"|"&amp;C521</f>
        <v>C11101|10</v>
      </c>
      <c r="B521" s="28" t="s">
        <v>79</v>
      </c>
      <c r="C521" s="28" t="n">
        <v>10</v>
      </c>
      <c r="D521" s="28" t="s">
        <v>102</v>
      </c>
      <c r="E521" s="28" t="s">
        <v>105</v>
      </c>
      <c r="F521" s="28" t="s">
        <v>95</v>
      </c>
      <c r="G521" s="29"/>
      <c r="H521" s="29"/>
      <c r="I521" s="28"/>
      <c r="J521" s="28" t="str">
        <f aca="false">INDEX(Turmas!$K:$K,MATCH(B521,Turmas!$M:$M,0))&amp;" | "&amp;INDEX(Turmas!$L:$L,MATCH(B521,Turmas!$M:$M,0))</f>
        <v>CICLO I  -  1º ANO | MANHÃ</v>
      </c>
    </row>
    <row r="522" customFormat="false" ht="15" hidden="false" customHeight="false" outlineLevel="0" collapsed="false">
      <c r="A522" s="28" t="str">
        <f aca="false">B522&amp;"|"&amp;C522</f>
        <v>C11101|11</v>
      </c>
      <c r="B522" s="28" t="s">
        <v>79</v>
      </c>
      <c r="C522" s="28" t="n">
        <v>11</v>
      </c>
      <c r="D522" s="28" t="s">
        <v>102</v>
      </c>
      <c r="E522" s="28" t="s">
        <v>106</v>
      </c>
      <c r="F522" s="28" t="s">
        <v>95</v>
      </c>
      <c r="G522" s="29"/>
      <c r="H522" s="29"/>
      <c r="I522" s="28"/>
      <c r="J522" s="28" t="str">
        <f aca="false">INDEX(Turmas!$K:$K,MATCH(B522,Turmas!$M:$M,0))&amp;" | "&amp;INDEX(Turmas!$L:$L,MATCH(B522,Turmas!$M:$M,0))</f>
        <v>CICLO I  -  1º ANO | MANHÃ</v>
      </c>
    </row>
    <row r="523" customFormat="false" ht="15" hidden="false" customHeight="false" outlineLevel="0" collapsed="false">
      <c r="A523" s="28" t="str">
        <f aca="false">B523&amp;"|"&amp;C523</f>
        <v>C11101|12</v>
      </c>
      <c r="B523" s="28" t="s">
        <v>79</v>
      </c>
      <c r="C523" s="28" t="n">
        <v>12</v>
      </c>
      <c r="D523" s="28" t="s">
        <v>102</v>
      </c>
      <c r="E523" s="28" t="s">
        <v>107</v>
      </c>
      <c r="F523" s="28" t="s">
        <v>95</v>
      </c>
      <c r="G523" s="29"/>
      <c r="H523" s="29"/>
      <c r="I523" s="28"/>
      <c r="J523" s="28" t="str">
        <f aca="false">INDEX(Turmas!$K:$K,MATCH(B523,Turmas!$M:$M,0))&amp;" | "&amp;INDEX(Turmas!$L:$L,MATCH(B523,Turmas!$M:$M,0))</f>
        <v>CICLO I  -  1º ANO | MANHÃ</v>
      </c>
    </row>
    <row r="524" customFormat="false" ht="15" hidden="false" customHeight="false" outlineLevel="0" collapsed="false">
      <c r="A524" s="28" t="str">
        <f aca="false">B524&amp;"|"&amp;C524</f>
        <v>C11101|13</v>
      </c>
      <c r="B524" s="28" t="s">
        <v>79</v>
      </c>
      <c r="C524" s="28" t="n">
        <v>13</v>
      </c>
      <c r="D524" s="28" t="s">
        <v>102</v>
      </c>
      <c r="E524" s="28" t="s">
        <v>108</v>
      </c>
      <c r="F524" s="28" t="s">
        <v>95</v>
      </c>
      <c r="G524" s="29"/>
      <c r="H524" s="29"/>
      <c r="I524" s="28"/>
      <c r="J524" s="28" t="str">
        <f aca="false">INDEX(Turmas!$K:$K,MATCH(B524,Turmas!$M:$M,0))&amp;" | "&amp;INDEX(Turmas!$L:$L,MATCH(B524,Turmas!$M:$M,0))</f>
        <v>CICLO I  -  1º ANO | MANHÃ</v>
      </c>
    </row>
    <row r="525" customFormat="false" ht="15" hidden="false" customHeight="false" outlineLevel="0" collapsed="false">
      <c r="A525" s="28" t="str">
        <f aca="false">B525&amp;"|"&amp;C525</f>
        <v>C11101|14</v>
      </c>
      <c r="B525" s="28" t="s">
        <v>79</v>
      </c>
      <c r="C525" s="28" t="n">
        <v>14</v>
      </c>
      <c r="D525" s="28" t="s">
        <v>102</v>
      </c>
      <c r="E525" s="28" t="s">
        <v>109</v>
      </c>
      <c r="F525" s="28" t="s">
        <v>95</v>
      </c>
      <c r="G525" s="29"/>
      <c r="H525" s="29"/>
      <c r="I525" s="28"/>
      <c r="J525" s="28" t="str">
        <f aca="false">INDEX(Turmas!$K:$K,MATCH(B525,Turmas!$M:$M,0))&amp;" | "&amp;INDEX(Turmas!$L:$L,MATCH(B525,Turmas!$M:$M,0))</f>
        <v>CICLO I  -  1º ANO | MANHÃ</v>
      </c>
    </row>
    <row r="526" customFormat="false" ht="15" hidden="false" customHeight="false" outlineLevel="0" collapsed="false">
      <c r="A526" s="28" t="str">
        <f aca="false">B526&amp;"|"&amp;C526</f>
        <v>C11101|15</v>
      </c>
      <c r="B526" s="28" t="s">
        <v>79</v>
      </c>
      <c r="C526" s="28" t="n">
        <v>15</v>
      </c>
      <c r="D526" s="28" t="s">
        <v>102</v>
      </c>
      <c r="E526" s="28" t="s">
        <v>110</v>
      </c>
      <c r="F526" s="28" t="s">
        <v>95</v>
      </c>
      <c r="G526" s="29"/>
      <c r="H526" s="29"/>
      <c r="I526" s="28"/>
      <c r="J526" s="28" t="str">
        <f aca="false">INDEX(Turmas!$K:$K,MATCH(B526,Turmas!$M:$M,0))&amp;" | "&amp;INDEX(Turmas!$L:$L,MATCH(B526,Turmas!$M:$M,0))</f>
        <v>CICLO I  -  1º ANO | MANHÃ</v>
      </c>
    </row>
    <row r="527" customFormat="false" ht="15" hidden="false" customHeight="false" outlineLevel="0" collapsed="false">
      <c r="A527" s="28" t="str">
        <f aca="false">B527&amp;"|"&amp;C527</f>
        <v>C11101|16</v>
      </c>
      <c r="B527" s="28" t="s">
        <v>79</v>
      </c>
      <c r="C527" s="28" t="n">
        <v>16</v>
      </c>
      <c r="D527" s="28" t="s">
        <v>111</v>
      </c>
      <c r="E527" s="28" t="s">
        <v>112</v>
      </c>
      <c r="F527" s="28" t="s">
        <v>95</v>
      </c>
      <c r="G527" s="29"/>
      <c r="H527" s="29"/>
      <c r="I527" s="28"/>
      <c r="J527" s="28" t="str">
        <f aca="false">INDEX(Turmas!$K:$K,MATCH(B527,Turmas!$M:$M,0))&amp;" | "&amp;INDEX(Turmas!$L:$L,MATCH(B527,Turmas!$M:$M,0))</f>
        <v>CICLO I  -  1º ANO | MANHÃ</v>
      </c>
    </row>
    <row r="528" customFormat="false" ht="15" hidden="false" customHeight="false" outlineLevel="0" collapsed="false">
      <c r="A528" s="28" t="str">
        <f aca="false">B528&amp;"|"&amp;C528</f>
        <v>C11101|17</v>
      </c>
      <c r="B528" s="28" t="s">
        <v>79</v>
      </c>
      <c r="C528" s="28" t="n">
        <v>17</v>
      </c>
      <c r="D528" s="28" t="s">
        <v>111</v>
      </c>
      <c r="E528" s="28" t="s">
        <v>113</v>
      </c>
      <c r="F528" s="28" t="s">
        <v>95</v>
      </c>
      <c r="G528" s="29"/>
      <c r="H528" s="29"/>
      <c r="I528" s="28"/>
      <c r="J528" s="28" t="str">
        <f aca="false">INDEX(Turmas!$K:$K,MATCH(B528,Turmas!$M:$M,0))&amp;" | "&amp;INDEX(Turmas!$L:$L,MATCH(B528,Turmas!$M:$M,0))</f>
        <v>CICLO I  -  1º ANO | MANHÃ</v>
      </c>
    </row>
    <row r="529" customFormat="false" ht="15" hidden="false" customHeight="false" outlineLevel="0" collapsed="false">
      <c r="A529" s="28" t="str">
        <f aca="false">B529&amp;"|"&amp;C529</f>
        <v>C11101|18</v>
      </c>
      <c r="B529" s="28" t="s">
        <v>79</v>
      </c>
      <c r="C529" s="28" t="n">
        <v>18</v>
      </c>
      <c r="D529" s="28" t="s">
        <v>111</v>
      </c>
      <c r="E529" s="28" t="s">
        <v>114</v>
      </c>
      <c r="F529" s="28" t="s">
        <v>95</v>
      </c>
      <c r="G529" s="29"/>
      <c r="H529" s="29"/>
      <c r="I529" s="28"/>
      <c r="J529" s="28" t="str">
        <f aca="false">INDEX(Turmas!$K:$K,MATCH(B529,Turmas!$M:$M,0))&amp;" | "&amp;INDEX(Turmas!$L:$L,MATCH(B529,Turmas!$M:$M,0))</f>
        <v>CICLO I  -  1º ANO | MANHÃ</v>
      </c>
    </row>
    <row r="530" customFormat="false" ht="15" hidden="false" customHeight="false" outlineLevel="0" collapsed="false">
      <c r="A530" s="28" t="str">
        <f aca="false">B530&amp;"|"&amp;C530</f>
        <v>C11101|19</v>
      </c>
      <c r="B530" s="28" t="s">
        <v>79</v>
      </c>
      <c r="C530" s="28" t="n">
        <v>19</v>
      </c>
      <c r="D530" s="28" t="s">
        <v>111</v>
      </c>
      <c r="E530" s="28" t="s">
        <v>115</v>
      </c>
      <c r="F530" s="28" t="s">
        <v>95</v>
      </c>
      <c r="G530" s="29"/>
      <c r="H530" s="29"/>
      <c r="I530" s="28"/>
      <c r="J530" s="28" t="str">
        <f aca="false">INDEX(Turmas!$K:$K,MATCH(B530,Turmas!$M:$M,0))&amp;" | "&amp;INDEX(Turmas!$L:$L,MATCH(B530,Turmas!$M:$M,0))</f>
        <v>CICLO I  -  1º ANO | MANHÃ</v>
      </c>
    </row>
    <row r="531" customFormat="false" ht="15" hidden="false" customHeight="false" outlineLevel="0" collapsed="false">
      <c r="A531" s="28" t="str">
        <f aca="false">B531&amp;"|"&amp;C531</f>
        <v>C11101|20</v>
      </c>
      <c r="B531" s="28" t="s">
        <v>79</v>
      </c>
      <c r="C531" s="28" t="n">
        <v>20</v>
      </c>
      <c r="D531" s="28" t="s">
        <v>111</v>
      </c>
      <c r="E531" s="28" t="s">
        <v>116</v>
      </c>
      <c r="F531" s="28" t="s">
        <v>95</v>
      </c>
      <c r="G531" s="29"/>
      <c r="H531" s="29"/>
      <c r="I531" s="28"/>
      <c r="J531" s="28" t="str">
        <f aca="false">INDEX(Turmas!$K:$K,MATCH(B531,Turmas!$M:$M,0))&amp;" | "&amp;INDEX(Turmas!$L:$L,MATCH(B531,Turmas!$M:$M,0))</f>
        <v>CICLO I  -  1º ANO | MANHÃ</v>
      </c>
    </row>
    <row r="532" customFormat="false" ht="15" hidden="false" customHeight="false" outlineLevel="0" collapsed="false">
      <c r="A532" s="28" t="str">
        <f aca="false">B532&amp;"|"&amp;C532</f>
        <v>C11101|21</v>
      </c>
      <c r="B532" s="28" t="s">
        <v>79</v>
      </c>
      <c r="C532" s="28" t="n">
        <v>21</v>
      </c>
      <c r="D532" s="28" t="s">
        <v>111</v>
      </c>
      <c r="E532" s="28" t="s">
        <v>117</v>
      </c>
      <c r="F532" s="28" t="s">
        <v>95</v>
      </c>
      <c r="G532" s="29"/>
      <c r="H532" s="29"/>
      <c r="I532" s="28"/>
      <c r="J532" s="28" t="str">
        <f aca="false">INDEX(Turmas!$K:$K,MATCH(B532,Turmas!$M:$M,0))&amp;" | "&amp;INDEX(Turmas!$L:$L,MATCH(B532,Turmas!$M:$M,0))</f>
        <v>CICLO I  -  1º ANO | MANHÃ</v>
      </c>
    </row>
    <row r="533" customFormat="false" ht="15" hidden="false" customHeight="false" outlineLevel="0" collapsed="false">
      <c r="A533" s="28" t="str">
        <f aca="false">B533&amp;"|"&amp;C533</f>
        <v>C11101|22</v>
      </c>
      <c r="B533" s="28" t="s">
        <v>79</v>
      </c>
      <c r="C533" s="28" t="n">
        <v>22</v>
      </c>
      <c r="D533" s="28" t="s">
        <v>111</v>
      </c>
      <c r="E533" s="28" t="s">
        <v>118</v>
      </c>
      <c r="F533" s="28" t="s">
        <v>95</v>
      </c>
      <c r="G533" s="29"/>
      <c r="H533" s="29"/>
      <c r="I533" s="28"/>
      <c r="J533" s="28" t="str">
        <f aca="false">INDEX(Turmas!$K:$K,MATCH(B533,Turmas!$M:$M,0))&amp;" | "&amp;INDEX(Turmas!$L:$L,MATCH(B533,Turmas!$M:$M,0))</f>
        <v>CICLO I  -  1º ANO | MANHÃ</v>
      </c>
    </row>
    <row r="534" customFormat="false" ht="15" hidden="false" customHeight="false" outlineLevel="0" collapsed="false">
      <c r="A534" s="28" t="str">
        <f aca="false">B534&amp;"|"&amp;C534</f>
        <v>C11101|23</v>
      </c>
      <c r="B534" s="28" t="s">
        <v>79</v>
      </c>
      <c r="C534" s="28" t="n">
        <v>23</v>
      </c>
      <c r="D534" s="28" t="s">
        <v>111</v>
      </c>
      <c r="E534" s="28" t="s">
        <v>119</v>
      </c>
      <c r="F534" s="28" t="s">
        <v>95</v>
      </c>
      <c r="G534" s="29"/>
      <c r="H534" s="29"/>
      <c r="I534" s="28"/>
      <c r="J534" s="28" t="str">
        <f aca="false">INDEX(Turmas!$K:$K,MATCH(B534,Turmas!$M:$M,0))&amp;" | "&amp;INDEX(Turmas!$L:$L,MATCH(B534,Turmas!$M:$M,0))</f>
        <v>CICLO I  -  1º ANO | MANHÃ</v>
      </c>
    </row>
    <row r="535" customFormat="false" ht="15" hidden="false" customHeight="false" outlineLevel="0" collapsed="false">
      <c r="A535" s="28" t="str">
        <f aca="false">B535&amp;"|"&amp;C535</f>
        <v>C11101|24</v>
      </c>
      <c r="B535" s="28" t="s">
        <v>79</v>
      </c>
      <c r="C535" s="28" t="n">
        <v>24</v>
      </c>
      <c r="D535" s="28" t="s">
        <v>111</v>
      </c>
      <c r="E535" s="28" t="s">
        <v>120</v>
      </c>
      <c r="F535" s="28" t="s">
        <v>95</v>
      </c>
      <c r="G535" s="29"/>
      <c r="H535" s="29"/>
      <c r="I535" s="28"/>
      <c r="J535" s="28" t="str">
        <f aca="false">INDEX(Turmas!$K:$K,MATCH(B535,Turmas!$M:$M,0))&amp;" | "&amp;INDEX(Turmas!$L:$L,MATCH(B535,Turmas!$M:$M,0))</f>
        <v>CICLO I  -  1º ANO | MANHÃ</v>
      </c>
    </row>
    <row r="536" customFormat="false" ht="15" hidden="false" customHeight="false" outlineLevel="0" collapsed="false">
      <c r="A536" s="28" t="str">
        <f aca="false">B536&amp;"|"&amp;C536</f>
        <v>C11101|25</v>
      </c>
      <c r="B536" s="28" t="s">
        <v>79</v>
      </c>
      <c r="C536" s="28" t="n">
        <v>25</v>
      </c>
      <c r="D536" s="28" t="s">
        <v>121</v>
      </c>
      <c r="E536" s="28" t="s">
        <v>122</v>
      </c>
      <c r="F536" s="28" t="s">
        <v>95</v>
      </c>
      <c r="G536" s="29"/>
      <c r="H536" s="29"/>
      <c r="I536" s="28"/>
      <c r="J536" s="28" t="str">
        <f aca="false">INDEX(Turmas!$K:$K,MATCH(B536,Turmas!$M:$M,0))&amp;" | "&amp;INDEX(Turmas!$L:$L,MATCH(B536,Turmas!$M:$M,0))</f>
        <v>CICLO I  -  1º ANO | MANHÃ</v>
      </c>
    </row>
    <row r="537" customFormat="false" ht="15" hidden="false" customHeight="false" outlineLevel="0" collapsed="false">
      <c r="A537" s="28" t="str">
        <f aca="false">B537&amp;"|"&amp;C537</f>
        <v>C11101|26</v>
      </c>
      <c r="B537" s="28" t="s">
        <v>79</v>
      </c>
      <c r="C537" s="28" t="n">
        <v>26</v>
      </c>
      <c r="D537" s="28" t="s">
        <v>121</v>
      </c>
      <c r="E537" s="28" t="s">
        <v>123</v>
      </c>
      <c r="F537" s="28" t="s">
        <v>95</v>
      </c>
      <c r="G537" s="29"/>
      <c r="H537" s="29"/>
      <c r="I537" s="28"/>
      <c r="J537" s="28" t="str">
        <f aca="false">INDEX(Turmas!$K:$K,MATCH(B537,Turmas!$M:$M,0))&amp;" | "&amp;INDEX(Turmas!$L:$L,MATCH(B537,Turmas!$M:$M,0))</f>
        <v>CICLO I  -  1º ANO | MANHÃ</v>
      </c>
    </row>
    <row r="538" customFormat="false" ht="15" hidden="false" customHeight="false" outlineLevel="0" collapsed="false">
      <c r="A538" s="28" t="str">
        <f aca="false">B538&amp;"|"&amp;C538</f>
        <v>C11101|27</v>
      </c>
      <c r="B538" s="28" t="s">
        <v>79</v>
      </c>
      <c r="C538" s="28" t="n">
        <v>27</v>
      </c>
      <c r="D538" s="28" t="s">
        <v>121</v>
      </c>
      <c r="E538" s="28" t="s">
        <v>124</v>
      </c>
      <c r="F538" s="28" t="s">
        <v>95</v>
      </c>
      <c r="G538" s="29"/>
      <c r="H538" s="29"/>
      <c r="I538" s="28"/>
      <c r="J538" s="28" t="str">
        <f aca="false">INDEX(Turmas!$K:$K,MATCH(B538,Turmas!$M:$M,0))&amp;" | "&amp;INDEX(Turmas!$L:$L,MATCH(B538,Turmas!$M:$M,0))</f>
        <v>CICLO I  -  1º ANO | MANHÃ</v>
      </c>
    </row>
    <row r="539" customFormat="false" ht="15" hidden="false" customHeight="false" outlineLevel="0" collapsed="false">
      <c r="A539" s="28" t="str">
        <f aca="false">B539&amp;"|"&amp;C539</f>
        <v>C11101|28</v>
      </c>
      <c r="B539" s="28" t="s">
        <v>79</v>
      </c>
      <c r="C539" s="28" t="n">
        <v>28</v>
      </c>
      <c r="D539" s="28" t="s">
        <v>121</v>
      </c>
      <c r="E539" s="28" t="s">
        <v>125</v>
      </c>
      <c r="F539" s="28" t="s">
        <v>95</v>
      </c>
      <c r="G539" s="29"/>
      <c r="H539" s="29"/>
      <c r="I539" s="28"/>
      <c r="J539" s="28" t="str">
        <f aca="false">INDEX(Turmas!$K:$K,MATCH(B539,Turmas!$M:$M,0))&amp;" | "&amp;INDEX(Turmas!$L:$L,MATCH(B539,Turmas!$M:$M,0))</f>
        <v>CICLO I  -  1º ANO | MANHÃ</v>
      </c>
    </row>
    <row r="540" customFormat="false" ht="15" hidden="false" customHeight="false" outlineLevel="0" collapsed="false">
      <c r="A540" s="28" t="str">
        <f aca="false">B540&amp;"|"&amp;C540</f>
        <v>C11101|29</v>
      </c>
      <c r="B540" s="28" t="s">
        <v>79</v>
      </c>
      <c r="C540" s="28" t="n">
        <v>29</v>
      </c>
      <c r="D540" s="28" t="s">
        <v>121</v>
      </c>
      <c r="E540" s="28" t="s">
        <v>126</v>
      </c>
      <c r="F540" s="28" t="s">
        <v>95</v>
      </c>
      <c r="G540" s="29"/>
      <c r="H540" s="29"/>
      <c r="I540" s="28"/>
      <c r="J540" s="28" t="str">
        <f aca="false">INDEX(Turmas!$K:$K,MATCH(B540,Turmas!$M:$M,0))&amp;" | "&amp;INDEX(Turmas!$L:$L,MATCH(B540,Turmas!$M:$M,0))</f>
        <v>CICLO I  -  1º ANO | MANHÃ</v>
      </c>
    </row>
    <row r="541" customFormat="false" ht="15" hidden="false" customHeight="false" outlineLevel="0" collapsed="false">
      <c r="A541" s="28" t="str">
        <f aca="false">B541&amp;"|"&amp;C541</f>
        <v>C11101|30</v>
      </c>
      <c r="B541" s="28" t="s">
        <v>79</v>
      </c>
      <c r="C541" s="28" t="n">
        <v>30</v>
      </c>
      <c r="D541" s="28" t="s">
        <v>127</v>
      </c>
      <c r="E541" s="28" t="s">
        <v>128</v>
      </c>
      <c r="F541" s="28" t="s">
        <v>95</v>
      </c>
      <c r="G541" s="29"/>
      <c r="H541" s="29"/>
      <c r="I541" s="28"/>
      <c r="J541" s="28" t="str">
        <f aca="false">INDEX(Turmas!$K:$K,MATCH(B541,Turmas!$M:$M,0))&amp;" | "&amp;INDEX(Turmas!$L:$L,MATCH(B541,Turmas!$M:$M,0))</f>
        <v>CICLO I  -  1º ANO | MANHÃ</v>
      </c>
    </row>
    <row r="542" customFormat="false" ht="15" hidden="false" customHeight="false" outlineLevel="0" collapsed="false">
      <c r="A542" s="28" t="str">
        <f aca="false">B542&amp;"|"&amp;C542</f>
        <v>C11101|31</v>
      </c>
      <c r="B542" s="28" t="s">
        <v>79</v>
      </c>
      <c r="C542" s="28" t="n">
        <v>31</v>
      </c>
      <c r="D542" s="28" t="s">
        <v>127</v>
      </c>
      <c r="E542" s="28" t="s">
        <v>108</v>
      </c>
      <c r="F542" s="28" t="s">
        <v>95</v>
      </c>
      <c r="G542" s="29"/>
      <c r="H542" s="29"/>
      <c r="I542" s="28"/>
      <c r="J542" s="28" t="str">
        <f aca="false">INDEX(Turmas!$K:$K,MATCH(B542,Turmas!$M:$M,0))&amp;" | "&amp;INDEX(Turmas!$L:$L,MATCH(B542,Turmas!$M:$M,0))</f>
        <v>CICLO I  -  1º ANO | MANHÃ</v>
      </c>
    </row>
    <row r="543" customFormat="false" ht="15" hidden="false" customHeight="false" outlineLevel="0" collapsed="false">
      <c r="A543" s="28" t="str">
        <f aca="false">B543&amp;"|"&amp;C543</f>
        <v>C11101|32</v>
      </c>
      <c r="B543" s="28" t="s">
        <v>79</v>
      </c>
      <c r="C543" s="28" t="n">
        <v>32</v>
      </c>
      <c r="D543" s="28" t="s">
        <v>127</v>
      </c>
      <c r="E543" s="28" t="s">
        <v>129</v>
      </c>
      <c r="F543" s="28" t="s">
        <v>95</v>
      </c>
      <c r="G543" s="29"/>
      <c r="H543" s="29"/>
      <c r="I543" s="28"/>
      <c r="J543" s="28" t="str">
        <f aca="false">INDEX(Turmas!$K:$K,MATCH(B543,Turmas!$M:$M,0))&amp;" | "&amp;INDEX(Turmas!$L:$L,MATCH(B543,Turmas!$M:$M,0))</f>
        <v>CICLO I  -  1º ANO | MANHÃ</v>
      </c>
    </row>
    <row r="544" customFormat="false" ht="15" hidden="false" customHeight="false" outlineLevel="0" collapsed="false">
      <c r="A544" s="28" t="str">
        <f aca="false">B544&amp;"|"&amp;C544</f>
        <v>C11101|33</v>
      </c>
      <c r="B544" s="28" t="s">
        <v>79</v>
      </c>
      <c r="C544" s="28" t="n">
        <v>33</v>
      </c>
      <c r="D544" s="28" t="s">
        <v>127</v>
      </c>
      <c r="E544" s="28" t="s">
        <v>130</v>
      </c>
      <c r="F544" s="28" t="s">
        <v>95</v>
      </c>
      <c r="G544" s="29"/>
      <c r="H544" s="29"/>
      <c r="I544" s="28"/>
      <c r="J544" s="28" t="str">
        <f aca="false">INDEX(Turmas!$K:$K,MATCH(B544,Turmas!$M:$M,0))&amp;" | "&amp;INDEX(Turmas!$L:$L,MATCH(B544,Turmas!$M:$M,0))</f>
        <v>CICLO I  -  1º ANO | MANHÃ</v>
      </c>
    </row>
    <row r="545" customFormat="false" ht="15" hidden="false" customHeight="false" outlineLevel="0" collapsed="false">
      <c r="A545" s="28" t="str">
        <f aca="false">B545&amp;"|"&amp;C545</f>
        <v>C11101|34</v>
      </c>
      <c r="B545" s="28" t="s">
        <v>79</v>
      </c>
      <c r="C545" s="28" t="n">
        <v>34</v>
      </c>
      <c r="D545" s="28" t="s">
        <v>127</v>
      </c>
      <c r="E545" s="28" t="s">
        <v>131</v>
      </c>
      <c r="F545" s="28" t="s">
        <v>95</v>
      </c>
      <c r="G545" s="29"/>
      <c r="H545" s="29"/>
      <c r="I545" s="28"/>
      <c r="J545" s="28" t="str">
        <f aca="false">INDEX(Turmas!$K:$K,MATCH(B545,Turmas!$M:$M,0))&amp;" | "&amp;INDEX(Turmas!$L:$L,MATCH(B545,Turmas!$M:$M,0))</f>
        <v>CICLO I  -  1º ANO | MANHÃ</v>
      </c>
    </row>
    <row r="546" customFormat="false" ht="15" hidden="false" customHeight="false" outlineLevel="0" collapsed="false">
      <c r="A546" s="28" t="str">
        <f aca="false">B546&amp;"|"&amp;C546</f>
        <v>C42302|1</v>
      </c>
      <c r="B546" s="28" t="s">
        <v>81</v>
      </c>
      <c r="C546" s="28" t="n">
        <v>1</v>
      </c>
      <c r="D546" s="28" t="s">
        <v>93</v>
      </c>
      <c r="E546" s="28" t="s">
        <v>94</v>
      </c>
      <c r="F546" s="28" t="s">
        <v>95</v>
      </c>
      <c r="G546" s="29"/>
      <c r="H546" s="29"/>
      <c r="I546" s="28"/>
      <c r="J546" s="28" t="str">
        <f aca="false">INDEX(Turmas!$K:$K,MATCH(B546,Turmas!$M:$M,0))&amp;" | "&amp;INDEX(Turmas!$L:$L,MATCH(B546,Turmas!$M:$M,0))</f>
        <v>CICLO IV  -  2º ANO | TARDE</v>
      </c>
    </row>
    <row r="547" customFormat="false" ht="15" hidden="false" customHeight="false" outlineLevel="0" collapsed="false">
      <c r="A547" s="28" t="str">
        <f aca="false">B547&amp;"|"&amp;C547</f>
        <v>C42302|2</v>
      </c>
      <c r="B547" s="28" t="s">
        <v>81</v>
      </c>
      <c r="C547" s="28" t="n">
        <v>2</v>
      </c>
      <c r="D547" s="28" t="s">
        <v>93</v>
      </c>
      <c r="E547" s="28" t="s">
        <v>96</v>
      </c>
      <c r="F547" s="28" t="s">
        <v>95</v>
      </c>
      <c r="G547" s="29"/>
      <c r="H547" s="29"/>
      <c r="I547" s="28"/>
      <c r="J547" s="28" t="str">
        <f aca="false">INDEX(Turmas!$K:$K,MATCH(B547,Turmas!$M:$M,0))&amp;" | "&amp;INDEX(Turmas!$L:$L,MATCH(B547,Turmas!$M:$M,0))</f>
        <v>CICLO IV  -  2º ANO | TARDE</v>
      </c>
    </row>
    <row r="548" customFormat="false" ht="15" hidden="false" customHeight="false" outlineLevel="0" collapsed="false">
      <c r="A548" s="28" t="str">
        <f aca="false">B548&amp;"|"&amp;C548</f>
        <v>C42302|3</v>
      </c>
      <c r="B548" s="28" t="s">
        <v>81</v>
      </c>
      <c r="C548" s="28" t="n">
        <v>3</v>
      </c>
      <c r="D548" s="28" t="s">
        <v>93</v>
      </c>
      <c r="E548" s="28" t="s">
        <v>97</v>
      </c>
      <c r="F548" s="28" t="s">
        <v>95</v>
      </c>
      <c r="G548" s="29"/>
      <c r="H548" s="29"/>
      <c r="I548" s="28"/>
      <c r="J548" s="28" t="str">
        <f aca="false">INDEX(Turmas!$K:$K,MATCH(B548,Turmas!$M:$M,0))&amp;" | "&amp;INDEX(Turmas!$L:$L,MATCH(B548,Turmas!$M:$M,0))</f>
        <v>CICLO IV  -  2º ANO | TARDE</v>
      </c>
    </row>
    <row r="549" customFormat="false" ht="15" hidden="false" customHeight="false" outlineLevel="0" collapsed="false">
      <c r="A549" s="28" t="str">
        <f aca="false">B549&amp;"|"&amp;C549</f>
        <v>C42302|4</v>
      </c>
      <c r="B549" s="28" t="s">
        <v>81</v>
      </c>
      <c r="C549" s="28" t="n">
        <v>4</v>
      </c>
      <c r="D549" s="28" t="s">
        <v>93</v>
      </c>
      <c r="E549" s="28" t="s">
        <v>98</v>
      </c>
      <c r="F549" s="28" t="s">
        <v>95</v>
      </c>
      <c r="G549" s="29"/>
      <c r="H549" s="29"/>
      <c r="I549" s="28"/>
      <c r="J549" s="28" t="str">
        <f aca="false">INDEX(Turmas!$K:$K,MATCH(B549,Turmas!$M:$M,0))&amp;" | "&amp;INDEX(Turmas!$L:$L,MATCH(B549,Turmas!$M:$M,0))</f>
        <v>CICLO IV  -  2º ANO | TARDE</v>
      </c>
    </row>
    <row r="550" customFormat="false" ht="15" hidden="false" customHeight="false" outlineLevel="0" collapsed="false">
      <c r="A550" s="28" t="str">
        <f aca="false">B550&amp;"|"&amp;C550</f>
        <v>C42302|5</v>
      </c>
      <c r="B550" s="28" t="s">
        <v>81</v>
      </c>
      <c r="C550" s="28" t="n">
        <v>5</v>
      </c>
      <c r="D550" s="28" t="s">
        <v>93</v>
      </c>
      <c r="E550" s="28" t="s">
        <v>99</v>
      </c>
      <c r="F550" s="28" t="s">
        <v>95</v>
      </c>
      <c r="G550" s="29"/>
      <c r="H550" s="29"/>
      <c r="I550" s="28"/>
      <c r="J550" s="28" t="str">
        <f aca="false">INDEX(Turmas!$K:$K,MATCH(B550,Turmas!$M:$M,0))&amp;" | "&amp;INDEX(Turmas!$L:$L,MATCH(B550,Turmas!$M:$M,0))</f>
        <v>CICLO IV  -  2º ANO | TARDE</v>
      </c>
    </row>
    <row r="551" customFormat="false" ht="15" hidden="false" customHeight="false" outlineLevel="0" collapsed="false">
      <c r="A551" s="28" t="str">
        <f aca="false">B551&amp;"|"&amp;C551</f>
        <v>C42302|6</v>
      </c>
      <c r="B551" s="28" t="s">
        <v>81</v>
      </c>
      <c r="C551" s="28" t="n">
        <v>6</v>
      </c>
      <c r="D551" s="28" t="s">
        <v>93</v>
      </c>
      <c r="E551" s="28" t="s">
        <v>100</v>
      </c>
      <c r="F551" s="28" t="s">
        <v>95</v>
      </c>
      <c r="G551" s="29"/>
      <c r="H551" s="29"/>
      <c r="I551" s="28"/>
      <c r="J551" s="28" t="str">
        <f aca="false">INDEX(Turmas!$K:$K,MATCH(B551,Turmas!$M:$M,0))&amp;" | "&amp;INDEX(Turmas!$L:$L,MATCH(B551,Turmas!$M:$M,0))</f>
        <v>CICLO IV  -  2º ANO | TARDE</v>
      </c>
    </row>
    <row r="552" customFormat="false" ht="15" hidden="false" customHeight="false" outlineLevel="0" collapsed="false">
      <c r="A552" s="28" t="str">
        <f aca="false">B552&amp;"|"&amp;C552</f>
        <v>C42302|7</v>
      </c>
      <c r="B552" s="28" t="s">
        <v>81</v>
      </c>
      <c r="C552" s="28" t="n">
        <v>7</v>
      </c>
      <c r="D552" s="28" t="s">
        <v>93</v>
      </c>
      <c r="E552" s="28" t="s">
        <v>101</v>
      </c>
      <c r="F552" s="28" t="s">
        <v>95</v>
      </c>
      <c r="G552" s="29"/>
      <c r="H552" s="29"/>
      <c r="I552" s="28"/>
      <c r="J552" s="28" t="str">
        <f aca="false">INDEX(Turmas!$K:$K,MATCH(B552,Turmas!$M:$M,0))&amp;" | "&amp;INDEX(Turmas!$L:$L,MATCH(B552,Turmas!$M:$M,0))</f>
        <v>CICLO IV  -  2º ANO | TARDE</v>
      </c>
    </row>
    <row r="553" customFormat="false" ht="15" hidden="false" customHeight="false" outlineLevel="0" collapsed="false">
      <c r="A553" s="28" t="str">
        <f aca="false">B553&amp;"|"&amp;C553</f>
        <v>C42302|8</v>
      </c>
      <c r="B553" s="28" t="s">
        <v>81</v>
      </c>
      <c r="C553" s="28" t="n">
        <v>8</v>
      </c>
      <c r="D553" s="28" t="s">
        <v>102</v>
      </c>
      <c r="E553" s="28" t="s">
        <v>103</v>
      </c>
      <c r="F553" s="28" t="s">
        <v>95</v>
      </c>
      <c r="G553" s="29"/>
      <c r="H553" s="29"/>
      <c r="I553" s="28"/>
      <c r="J553" s="28" t="str">
        <f aca="false">INDEX(Turmas!$K:$K,MATCH(B553,Turmas!$M:$M,0))&amp;" | "&amp;INDEX(Turmas!$L:$L,MATCH(B553,Turmas!$M:$M,0))</f>
        <v>CICLO IV  -  2º ANO | TARDE</v>
      </c>
    </row>
    <row r="554" customFormat="false" ht="15" hidden="false" customHeight="false" outlineLevel="0" collapsed="false">
      <c r="A554" s="28" t="str">
        <f aca="false">B554&amp;"|"&amp;C554</f>
        <v>C42302|9</v>
      </c>
      <c r="B554" s="28" t="s">
        <v>81</v>
      </c>
      <c r="C554" s="28" t="n">
        <v>9</v>
      </c>
      <c r="D554" s="28" t="s">
        <v>102</v>
      </c>
      <c r="E554" s="28" t="s">
        <v>104</v>
      </c>
      <c r="F554" s="28" t="s">
        <v>95</v>
      </c>
      <c r="G554" s="29"/>
      <c r="H554" s="29"/>
      <c r="I554" s="28"/>
      <c r="J554" s="28" t="str">
        <f aca="false">INDEX(Turmas!$K:$K,MATCH(B554,Turmas!$M:$M,0))&amp;" | "&amp;INDEX(Turmas!$L:$L,MATCH(B554,Turmas!$M:$M,0))</f>
        <v>CICLO IV  -  2º ANO | TARDE</v>
      </c>
    </row>
    <row r="555" customFormat="false" ht="15" hidden="false" customHeight="false" outlineLevel="0" collapsed="false">
      <c r="A555" s="28" t="str">
        <f aca="false">B555&amp;"|"&amp;C555</f>
        <v>C42302|10</v>
      </c>
      <c r="B555" s="28" t="s">
        <v>81</v>
      </c>
      <c r="C555" s="28" t="n">
        <v>10</v>
      </c>
      <c r="D555" s="28" t="s">
        <v>102</v>
      </c>
      <c r="E555" s="28" t="s">
        <v>105</v>
      </c>
      <c r="F555" s="28" t="s">
        <v>95</v>
      </c>
      <c r="G555" s="29"/>
      <c r="H555" s="29"/>
      <c r="I555" s="28"/>
      <c r="J555" s="28" t="str">
        <f aca="false">INDEX(Turmas!$K:$K,MATCH(B555,Turmas!$M:$M,0))&amp;" | "&amp;INDEX(Turmas!$L:$L,MATCH(B555,Turmas!$M:$M,0))</f>
        <v>CICLO IV  -  2º ANO | TARDE</v>
      </c>
    </row>
    <row r="556" customFormat="false" ht="15" hidden="false" customHeight="false" outlineLevel="0" collapsed="false">
      <c r="A556" s="28" t="str">
        <f aca="false">B556&amp;"|"&amp;C556</f>
        <v>C42302|11</v>
      </c>
      <c r="B556" s="28" t="s">
        <v>81</v>
      </c>
      <c r="C556" s="28" t="n">
        <v>11</v>
      </c>
      <c r="D556" s="28" t="s">
        <v>102</v>
      </c>
      <c r="E556" s="28" t="s">
        <v>106</v>
      </c>
      <c r="F556" s="28" t="s">
        <v>95</v>
      </c>
      <c r="G556" s="29"/>
      <c r="H556" s="29"/>
      <c r="I556" s="28"/>
      <c r="J556" s="28" t="str">
        <f aca="false">INDEX(Turmas!$K:$K,MATCH(B556,Turmas!$M:$M,0))&amp;" | "&amp;INDEX(Turmas!$L:$L,MATCH(B556,Turmas!$M:$M,0))</f>
        <v>CICLO IV  -  2º ANO | TARDE</v>
      </c>
    </row>
    <row r="557" customFormat="false" ht="15" hidden="false" customHeight="false" outlineLevel="0" collapsed="false">
      <c r="A557" s="28" t="str">
        <f aca="false">B557&amp;"|"&amp;C557</f>
        <v>C42302|12</v>
      </c>
      <c r="B557" s="28" t="s">
        <v>81</v>
      </c>
      <c r="C557" s="28" t="n">
        <v>12</v>
      </c>
      <c r="D557" s="28" t="s">
        <v>102</v>
      </c>
      <c r="E557" s="28" t="s">
        <v>107</v>
      </c>
      <c r="F557" s="28" t="s">
        <v>95</v>
      </c>
      <c r="G557" s="29"/>
      <c r="H557" s="29"/>
      <c r="I557" s="28"/>
      <c r="J557" s="28" t="str">
        <f aca="false">INDEX(Turmas!$K:$K,MATCH(B557,Turmas!$M:$M,0))&amp;" | "&amp;INDEX(Turmas!$L:$L,MATCH(B557,Turmas!$M:$M,0))</f>
        <v>CICLO IV  -  2º ANO | TARDE</v>
      </c>
    </row>
    <row r="558" customFormat="false" ht="15" hidden="false" customHeight="false" outlineLevel="0" collapsed="false">
      <c r="A558" s="28" t="str">
        <f aca="false">B558&amp;"|"&amp;C558</f>
        <v>C42302|13</v>
      </c>
      <c r="B558" s="28" t="s">
        <v>81</v>
      </c>
      <c r="C558" s="28" t="n">
        <v>13</v>
      </c>
      <c r="D558" s="28" t="s">
        <v>102</v>
      </c>
      <c r="E558" s="28" t="s">
        <v>108</v>
      </c>
      <c r="F558" s="28" t="s">
        <v>95</v>
      </c>
      <c r="G558" s="29"/>
      <c r="H558" s="29"/>
      <c r="I558" s="28"/>
      <c r="J558" s="28" t="str">
        <f aca="false">INDEX(Turmas!$K:$K,MATCH(B558,Turmas!$M:$M,0))&amp;" | "&amp;INDEX(Turmas!$L:$L,MATCH(B558,Turmas!$M:$M,0))</f>
        <v>CICLO IV  -  2º ANO | TARDE</v>
      </c>
    </row>
    <row r="559" customFormat="false" ht="15" hidden="false" customHeight="false" outlineLevel="0" collapsed="false">
      <c r="A559" s="28" t="str">
        <f aca="false">B559&amp;"|"&amp;C559</f>
        <v>C42302|14</v>
      </c>
      <c r="B559" s="28" t="s">
        <v>81</v>
      </c>
      <c r="C559" s="28" t="n">
        <v>14</v>
      </c>
      <c r="D559" s="28" t="s">
        <v>102</v>
      </c>
      <c r="E559" s="28" t="s">
        <v>109</v>
      </c>
      <c r="F559" s="28" t="s">
        <v>95</v>
      </c>
      <c r="G559" s="29"/>
      <c r="H559" s="29"/>
      <c r="I559" s="28"/>
      <c r="J559" s="28" t="str">
        <f aca="false">INDEX(Turmas!$K:$K,MATCH(B559,Turmas!$M:$M,0))&amp;" | "&amp;INDEX(Turmas!$L:$L,MATCH(B559,Turmas!$M:$M,0))</f>
        <v>CICLO IV  -  2º ANO | TARDE</v>
      </c>
    </row>
    <row r="560" customFormat="false" ht="15" hidden="false" customHeight="false" outlineLevel="0" collapsed="false">
      <c r="A560" s="28" t="str">
        <f aca="false">B560&amp;"|"&amp;C560</f>
        <v>C42302|15</v>
      </c>
      <c r="B560" s="28" t="s">
        <v>81</v>
      </c>
      <c r="C560" s="28" t="n">
        <v>15</v>
      </c>
      <c r="D560" s="28" t="s">
        <v>102</v>
      </c>
      <c r="E560" s="28" t="s">
        <v>110</v>
      </c>
      <c r="F560" s="28" t="s">
        <v>95</v>
      </c>
      <c r="G560" s="29"/>
      <c r="H560" s="29"/>
      <c r="I560" s="28"/>
      <c r="J560" s="28" t="str">
        <f aca="false">INDEX(Turmas!$K:$K,MATCH(B560,Turmas!$M:$M,0))&amp;" | "&amp;INDEX(Turmas!$L:$L,MATCH(B560,Turmas!$M:$M,0))</f>
        <v>CICLO IV  -  2º ANO | TARDE</v>
      </c>
    </row>
    <row r="561" customFormat="false" ht="15" hidden="false" customHeight="false" outlineLevel="0" collapsed="false">
      <c r="A561" s="28" t="str">
        <f aca="false">B561&amp;"|"&amp;C561</f>
        <v>C42302|16</v>
      </c>
      <c r="B561" s="28" t="s">
        <v>81</v>
      </c>
      <c r="C561" s="28" t="n">
        <v>16</v>
      </c>
      <c r="D561" s="28" t="s">
        <v>111</v>
      </c>
      <c r="E561" s="28" t="s">
        <v>112</v>
      </c>
      <c r="F561" s="28" t="s">
        <v>95</v>
      </c>
      <c r="G561" s="29"/>
      <c r="H561" s="29"/>
      <c r="I561" s="28"/>
      <c r="J561" s="28" t="str">
        <f aca="false">INDEX(Turmas!$K:$K,MATCH(B561,Turmas!$M:$M,0))&amp;" | "&amp;INDEX(Turmas!$L:$L,MATCH(B561,Turmas!$M:$M,0))</f>
        <v>CICLO IV  -  2º ANO | TARDE</v>
      </c>
    </row>
    <row r="562" customFormat="false" ht="15" hidden="false" customHeight="false" outlineLevel="0" collapsed="false">
      <c r="A562" s="28" t="str">
        <f aca="false">B562&amp;"|"&amp;C562</f>
        <v>C42302|17</v>
      </c>
      <c r="B562" s="28" t="s">
        <v>81</v>
      </c>
      <c r="C562" s="28" t="n">
        <v>17</v>
      </c>
      <c r="D562" s="28" t="s">
        <v>111</v>
      </c>
      <c r="E562" s="28" t="s">
        <v>113</v>
      </c>
      <c r="F562" s="28" t="s">
        <v>95</v>
      </c>
      <c r="G562" s="29"/>
      <c r="H562" s="29"/>
      <c r="I562" s="28"/>
      <c r="J562" s="28" t="str">
        <f aca="false">INDEX(Turmas!$K:$K,MATCH(B562,Turmas!$M:$M,0))&amp;" | "&amp;INDEX(Turmas!$L:$L,MATCH(B562,Turmas!$M:$M,0))</f>
        <v>CICLO IV  -  2º ANO | TARDE</v>
      </c>
    </row>
    <row r="563" customFormat="false" ht="15" hidden="false" customHeight="false" outlineLevel="0" collapsed="false">
      <c r="A563" s="28" t="str">
        <f aca="false">B563&amp;"|"&amp;C563</f>
        <v>C42302|18</v>
      </c>
      <c r="B563" s="28" t="s">
        <v>81</v>
      </c>
      <c r="C563" s="28" t="n">
        <v>18</v>
      </c>
      <c r="D563" s="28" t="s">
        <v>111</v>
      </c>
      <c r="E563" s="28" t="s">
        <v>114</v>
      </c>
      <c r="F563" s="28" t="s">
        <v>95</v>
      </c>
      <c r="G563" s="29"/>
      <c r="H563" s="29"/>
      <c r="I563" s="28"/>
      <c r="J563" s="28" t="str">
        <f aca="false">INDEX(Turmas!$K:$K,MATCH(B563,Turmas!$M:$M,0))&amp;" | "&amp;INDEX(Turmas!$L:$L,MATCH(B563,Turmas!$M:$M,0))</f>
        <v>CICLO IV  -  2º ANO | TARDE</v>
      </c>
    </row>
    <row r="564" customFormat="false" ht="15" hidden="false" customHeight="false" outlineLevel="0" collapsed="false">
      <c r="A564" s="28" t="str">
        <f aca="false">B564&amp;"|"&amp;C564</f>
        <v>C42302|19</v>
      </c>
      <c r="B564" s="28" t="s">
        <v>81</v>
      </c>
      <c r="C564" s="28" t="n">
        <v>19</v>
      </c>
      <c r="D564" s="28" t="s">
        <v>111</v>
      </c>
      <c r="E564" s="28" t="s">
        <v>115</v>
      </c>
      <c r="F564" s="28" t="s">
        <v>95</v>
      </c>
      <c r="G564" s="29"/>
      <c r="H564" s="29"/>
      <c r="I564" s="28"/>
      <c r="J564" s="28" t="str">
        <f aca="false">INDEX(Turmas!$K:$K,MATCH(B564,Turmas!$M:$M,0))&amp;" | "&amp;INDEX(Turmas!$L:$L,MATCH(B564,Turmas!$M:$M,0))</f>
        <v>CICLO IV  -  2º ANO | TARDE</v>
      </c>
    </row>
    <row r="565" customFormat="false" ht="15" hidden="false" customHeight="false" outlineLevel="0" collapsed="false">
      <c r="A565" s="28" t="str">
        <f aca="false">B565&amp;"|"&amp;C565</f>
        <v>C42302|20</v>
      </c>
      <c r="B565" s="28" t="s">
        <v>81</v>
      </c>
      <c r="C565" s="28" t="n">
        <v>20</v>
      </c>
      <c r="D565" s="28" t="s">
        <v>111</v>
      </c>
      <c r="E565" s="28" t="s">
        <v>116</v>
      </c>
      <c r="F565" s="28" t="s">
        <v>95</v>
      </c>
      <c r="G565" s="29"/>
      <c r="H565" s="29"/>
      <c r="I565" s="28"/>
      <c r="J565" s="28" t="str">
        <f aca="false">INDEX(Turmas!$K:$K,MATCH(B565,Turmas!$M:$M,0))&amp;" | "&amp;INDEX(Turmas!$L:$L,MATCH(B565,Turmas!$M:$M,0))</f>
        <v>CICLO IV  -  2º ANO | TARDE</v>
      </c>
    </row>
    <row r="566" customFormat="false" ht="15" hidden="false" customHeight="false" outlineLevel="0" collapsed="false">
      <c r="A566" s="28" t="str">
        <f aca="false">B566&amp;"|"&amp;C566</f>
        <v>C42302|21</v>
      </c>
      <c r="B566" s="28" t="s">
        <v>81</v>
      </c>
      <c r="C566" s="28" t="n">
        <v>21</v>
      </c>
      <c r="D566" s="28" t="s">
        <v>111</v>
      </c>
      <c r="E566" s="28" t="s">
        <v>117</v>
      </c>
      <c r="F566" s="28" t="s">
        <v>95</v>
      </c>
      <c r="G566" s="29"/>
      <c r="H566" s="29"/>
      <c r="I566" s="28"/>
      <c r="J566" s="28" t="str">
        <f aca="false">INDEX(Turmas!$K:$K,MATCH(B566,Turmas!$M:$M,0))&amp;" | "&amp;INDEX(Turmas!$L:$L,MATCH(B566,Turmas!$M:$M,0))</f>
        <v>CICLO IV  -  2º ANO | TARDE</v>
      </c>
    </row>
    <row r="567" customFormat="false" ht="15" hidden="false" customHeight="false" outlineLevel="0" collapsed="false">
      <c r="A567" s="28" t="str">
        <f aca="false">B567&amp;"|"&amp;C567</f>
        <v>C42302|22</v>
      </c>
      <c r="B567" s="28" t="s">
        <v>81</v>
      </c>
      <c r="C567" s="28" t="n">
        <v>22</v>
      </c>
      <c r="D567" s="28" t="s">
        <v>111</v>
      </c>
      <c r="E567" s="28" t="s">
        <v>118</v>
      </c>
      <c r="F567" s="28" t="s">
        <v>95</v>
      </c>
      <c r="G567" s="29"/>
      <c r="H567" s="29"/>
      <c r="I567" s="28"/>
      <c r="J567" s="28" t="str">
        <f aca="false">INDEX(Turmas!$K:$K,MATCH(B567,Turmas!$M:$M,0))&amp;" | "&amp;INDEX(Turmas!$L:$L,MATCH(B567,Turmas!$M:$M,0))</f>
        <v>CICLO IV  -  2º ANO | TARDE</v>
      </c>
    </row>
    <row r="568" customFormat="false" ht="15" hidden="false" customHeight="false" outlineLevel="0" collapsed="false">
      <c r="A568" s="28" t="str">
        <f aca="false">B568&amp;"|"&amp;C568</f>
        <v>C42302|23</v>
      </c>
      <c r="B568" s="28" t="s">
        <v>81</v>
      </c>
      <c r="C568" s="28" t="n">
        <v>23</v>
      </c>
      <c r="D568" s="28" t="s">
        <v>111</v>
      </c>
      <c r="E568" s="28" t="s">
        <v>119</v>
      </c>
      <c r="F568" s="28" t="s">
        <v>95</v>
      </c>
      <c r="G568" s="29"/>
      <c r="H568" s="29"/>
      <c r="I568" s="28"/>
      <c r="J568" s="28" t="str">
        <f aca="false">INDEX(Turmas!$K:$K,MATCH(B568,Turmas!$M:$M,0))&amp;" | "&amp;INDEX(Turmas!$L:$L,MATCH(B568,Turmas!$M:$M,0))</f>
        <v>CICLO IV  -  2º ANO | TARDE</v>
      </c>
    </row>
    <row r="569" customFormat="false" ht="15" hidden="false" customHeight="false" outlineLevel="0" collapsed="false">
      <c r="A569" s="28" t="str">
        <f aca="false">B569&amp;"|"&amp;C569</f>
        <v>C42302|24</v>
      </c>
      <c r="B569" s="28" t="s">
        <v>81</v>
      </c>
      <c r="C569" s="28" t="n">
        <v>24</v>
      </c>
      <c r="D569" s="28" t="s">
        <v>111</v>
      </c>
      <c r="E569" s="28" t="s">
        <v>120</v>
      </c>
      <c r="F569" s="28" t="s">
        <v>95</v>
      </c>
      <c r="G569" s="29"/>
      <c r="H569" s="29"/>
      <c r="I569" s="28"/>
      <c r="J569" s="28" t="str">
        <f aca="false">INDEX(Turmas!$K:$K,MATCH(B569,Turmas!$M:$M,0))&amp;" | "&amp;INDEX(Turmas!$L:$L,MATCH(B569,Turmas!$M:$M,0))</f>
        <v>CICLO IV  -  2º ANO | TARDE</v>
      </c>
    </row>
    <row r="570" customFormat="false" ht="15" hidden="false" customHeight="false" outlineLevel="0" collapsed="false">
      <c r="A570" s="28" t="str">
        <f aca="false">B570&amp;"|"&amp;C570</f>
        <v>C42302|25</v>
      </c>
      <c r="B570" s="28" t="s">
        <v>81</v>
      </c>
      <c r="C570" s="28" t="n">
        <v>25</v>
      </c>
      <c r="D570" s="28" t="s">
        <v>121</v>
      </c>
      <c r="E570" s="28" t="s">
        <v>122</v>
      </c>
      <c r="F570" s="28" t="s">
        <v>95</v>
      </c>
      <c r="G570" s="29"/>
      <c r="H570" s="29"/>
      <c r="I570" s="28"/>
      <c r="J570" s="28" t="str">
        <f aca="false">INDEX(Turmas!$K:$K,MATCH(B570,Turmas!$M:$M,0))&amp;" | "&amp;INDEX(Turmas!$L:$L,MATCH(B570,Turmas!$M:$M,0))</f>
        <v>CICLO IV  -  2º ANO | TARDE</v>
      </c>
    </row>
    <row r="571" customFormat="false" ht="15" hidden="false" customHeight="false" outlineLevel="0" collapsed="false">
      <c r="A571" s="28" t="str">
        <f aca="false">B571&amp;"|"&amp;C571</f>
        <v>C42302|26</v>
      </c>
      <c r="B571" s="28" t="s">
        <v>81</v>
      </c>
      <c r="C571" s="28" t="n">
        <v>26</v>
      </c>
      <c r="D571" s="28" t="s">
        <v>121</v>
      </c>
      <c r="E571" s="28" t="s">
        <v>123</v>
      </c>
      <c r="F571" s="28" t="s">
        <v>95</v>
      </c>
      <c r="G571" s="29"/>
      <c r="H571" s="29"/>
      <c r="I571" s="28"/>
      <c r="J571" s="28" t="str">
        <f aca="false">INDEX(Turmas!$K:$K,MATCH(B571,Turmas!$M:$M,0))&amp;" | "&amp;INDEX(Turmas!$L:$L,MATCH(B571,Turmas!$M:$M,0))</f>
        <v>CICLO IV  -  2º ANO | TARDE</v>
      </c>
    </row>
    <row r="572" customFormat="false" ht="15" hidden="false" customHeight="false" outlineLevel="0" collapsed="false">
      <c r="A572" s="28" t="str">
        <f aca="false">B572&amp;"|"&amp;C572</f>
        <v>C42302|27</v>
      </c>
      <c r="B572" s="28" t="s">
        <v>81</v>
      </c>
      <c r="C572" s="28" t="n">
        <v>27</v>
      </c>
      <c r="D572" s="28" t="s">
        <v>121</v>
      </c>
      <c r="E572" s="28" t="s">
        <v>124</v>
      </c>
      <c r="F572" s="28" t="s">
        <v>95</v>
      </c>
      <c r="G572" s="29"/>
      <c r="H572" s="29"/>
      <c r="I572" s="28"/>
      <c r="J572" s="28" t="str">
        <f aca="false">INDEX(Turmas!$K:$K,MATCH(B572,Turmas!$M:$M,0))&amp;" | "&amp;INDEX(Turmas!$L:$L,MATCH(B572,Turmas!$M:$M,0))</f>
        <v>CICLO IV  -  2º ANO | TARDE</v>
      </c>
    </row>
    <row r="573" customFormat="false" ht="15" hidden="false" customHeight="false" outlineLevel="0" collapsed="false">
      <c r="A573" s="28" t="str">
        <f aca="false">B573&amp;"|"&amp;C573</f>
        <v>C42302|28</v>
      </c>
      <c r="B573" s="28" t="s">
        <v>81</v>
      </c>
      <c r="C573" s="28" t="n">
        <v>28</v>
      </c>
      <c r="D573" s="28" t="s">
        <v>121</v>
      </c>
      <c r="E573" s="28" t="s">
        <v>125</v>
      </c>
      <c r="F573" s="28" t="s">
        <v>95</v>
      </c>
      <c r="G573" s="29"/>
      <c r="H573" s="29"/>
      <c r="I573" s="28"/>
      <c r="J573" s="28" t="str">
        <f aca="false">INDEX(Turmas!$K:$K,MATCH(B573,Turmas!$M:$M,0))&amp;" | "&amp;INDEX(Turmas!$L:$L,MATCH(B573,Turmas!$M:$M,0))</f>
        <v>CICLO IV  -  2º ANO | TARDE</v>
      </c>
    </row>
    <row r="574" customFormat="false" ht="15" hidden="false" customHeight="false" outlineLevel="0" collapsed="false">
      <c r="A574" s="28" t="str">
        <f aca="false">B574&amp;"|"&amp;C574</f>
        <v>C42302|29</v>
      </c>
      <c r="B574" s="28" t="s">
        <v>81</v>
      </c>
      <c r="C574" s="28" t="n">
        <v>29</v>
      </c>
      <c r="D574" s="28" t="s">
        <v>121</v>
      </c>
      <c r="E574" s="28" t="s">
        <v>126</v>
      </c>
      <c r="F574" s="28" t="s">
        <v>95</v>
      </c>
      <c r="G574" s="29"/>
      <c r="H574" s="29"/>
      <c r="I574" s="28"/>
      <c r="J574" s="28" t="str">
        <f aca="false">INDEX(Turmas!$K:$K,MATCH(B574,Turmas!$M:$M,0))&amp;" | "&amp;INDEX(Turmas!$L:$L,MATCH(B574,Turmas!$M:$M,0))</f>
        <v>CICLO IV  -  2º ANO | TARDE</v>
      </c>
    </row>
    <row r="575" customFormat="false" ht="15" hidden="false" customHeight="false" outlineLevel="0" collapsed="false">
      <c r="A575" s="28" t="str">
        <f aca="false">B575&amp;"|"&amp;C575</f>
        <v>C42302|30</v>
      </c>
      <c r="B575" s="28" t="s">
        <v>81</v>
      </c>
      <c r="C575" s="28" t="n">
        <v>30</v>
      </c>
      <c r="D575" s="28" t="s">
        <v>127</v>
      </c>
      <c r="E575" s="28" t="s">
        <v>128</v>
      </c>
      <c r="F575" s="28" t="s">
        <v>95</v>
      </c>
      <c r="G575" s="29"/>
      <c r="H575" s="29"/>
      <c r="I575" s="28"/>
      <c r="J575" s="28" t="str">
        <f aca="false">INDEX(Turmas!$K:$K,MATCH(B575,Turmas!$M:$M,0))&amp;" | "&amp;INDEX(Turmas!$L:$L,MATCH(B575,Turmas!$M:$M,0))</f>
        <v>CICLO IV  -  2º ANO | TARDE</v>
      </c>
    </row>
    <row r="576" customFormat="false" ht="15" hidden="false" customHeight="false" outlineLevel="0" collapsed="false">
      <c r="A576" s="28" t="str">
        <f aca="false">B576&amp;"|"&amp;C576</f>
        <v>C42302|31</v>
      </c>
      <c r="B576" s="28" t="s">
        <v>81</v>
      </c>
      <c r="C576" s="28" t="n">
        <v>31</v>
      </c>
      <c r="D576" s="28" t="s">
        <v>127</v>
      </c>
      <c r="E576" s="28" t="s">
        <v>108</v>
      </c>
      <c r="F576" s="28" t="s">
        <v>95</v>
      </c>
      <c r="G576" s="29"/>
      <c r="H576" s="29"/>
      <c r="I576" s="28"/>
      <c r="J576" s="28" t="str">
        <f aca="false">INDEX(Turmas!$K:$K,MATCH(B576,Turmas!$M:$M,0))&amp;" | "&amp;INDEX(Turmas!$L:$L,MATCH(B576,Turmas!$M:$M,0))</f>
        <v>CICLO IV  -  2º ANO | TARDE</v>
      </c>
    </row>
    <row r="577" customFormat="false" ht="15" hidden="false" customHeight="false" outlineLevel="0" collapsed="false">
      <c r="A577" s="28" t="str">
        <f aca="false">B577&amp;"|"&amp;C577</f>
        <v>C42302|32</v>
      </c>
      <c r="B577" s="28" t="s">
        <v>81</v>
      </c>
      <c r="C577" s="28" t="n">
        <v>32</v>
      </c>
      <c r="D577" s="28" t="s">
        <v>127</v>
      </c>
      <c r="E577" s="28" t="s">
        <v>129</v>
      </c>
      <c r="F577" s="28" t="s">
        <v>95</v>
      </c>
      <c r="G577" s="29"/>
      <c r="H577" s="29"/>
      <c r="I577" s="28"/>
      <c r="J577" s="28" t="str">
        <f aca="false">INDEX(Turmas!$K:$K,MATCH(B577,Turmas!$M:$M,0))&amp;" | "&amp;INDEX(Turmas!$L:$L,MATCH(B577,Turmas!$M:$M,0))</f>
        <v>CICLO IV  -  2º ANO | TARDE</v>
      </c>
    </row>
    <row r="578" customFormat="false" ht="15" hidden="false" customHeight="false" outlineLevel="0" collapsed="false">
      <c r="A578" s="28" t="str">
        <f aca="false">B578&amp;"|"&amp;C578</f>
        <v>C42302|33</v>
      </c>
      <c r="B578" s="28" t="s">
        <v>81</v>
      </c>
      <c r="C578" s="28" t="n">
        <v>33</v>
      </c>
      <c r="D578" s="28" t="s">
        <v>127</v>
      </c>
      <c r="E578" s="28" t="s">
        <v>130</v>
      </c>
      <c r="F578" s="28" t="s">
        <v>95</v>
      </c>
      <c r="G578" s="29"/>
      <c r="H578" s="29"/>
      <c r="I578" s="28"/>
      <c r="J578" s="28" t="str">
        <f aca="false">INDEX(Turmas!$K:$K,MATCH(B578,Turmas!$M:$M,0))&amp;" | "&amp;INDEX(Turmas!$L:$L,MATCH(B578,Turmas!$M:$M,0))</f>
        <v>CICLO IV  -  2º ANO | TARDE</v>
      </c>
    </row>
    <row r="579" customFormat="false" ht="15" hidden="false" customHeight="false" outlineLevel="0" collapsed="false">
      <c r="A579" s="28" t="str">
        <f aca="false">B579&amp;"|"&amp;C579</f>
        <v>C42302|34</v>
      </c>
      <c r="B579" s="28" t="s">
        <v>81</v>
      </c>
      <c r="C579" s="28" t="n">
        <v>34</v>
      </c>
      <c r="D579" s="28" t="s">
        <v>127</v>
      </c>
      <c r="E579" s="28" t="s">
        <v>131</v>
      </c>
      <c r="F579" s="28" t="s">
        <v>95</v>
      </c>
      <c r="G579" s="29"/>
      <c r="H579" s="29"/>
      <c r="I579" s="28"/>
      <c r="J579" s="28" t="str">
        <f aca="false">INDEX(Turmas!$K:$K,MATCH(B579,Turmas!$M:$M,0))&amp;" | "&amp;INDEX(Turmas!$L:$L,MATCH(B579,Turmas!$M:$M,0))</f>
        <v>CICLO IV  -  2º ANO | TARDE</v>
      </c>
    </row>
    <row r="580" customFormat="false" ht="15" hidden="false" customHeight="false" outlineLevel="0" collapsed="false">
      <c r="A580" s="28" t="str">
        <f aca="false">B580&amp;"|"&amp;C580</f>
        <v>C42301|1</v>
      </c>
      <c r="B580" s="28" t="s">
        <v>82</v>
      </c>
      <c r="C580" s="28" t="n">
        <v>1</v>
      </c>
      <c r="D580" s="28" t="s">
        <v>93</v>
      </c>
      <c r="E580" s="28" t="s">
        <v>94</v>
      </c>
      <c r="F580" s="28" t="s">
        <v>95</v>
      </c>
      <c r="G580" s="29"/>
      <c r="H580" s="29"/>
      <c r="I580" s="28"/>
      <c r="J580" s="28" t="str">
        <f aca="false">INDEX(Turmas!$K:$K,MATCH(B580,Turmas!$M:$M,0))&amp;" | "&amp;INDEX(Turmas!$L:$L,MATCH(B580,Turmas!$M:$M,0))</f>
        <v>CICLO IV  -  2º ANO | TARDE</v>
      </c>
    </row>
    <row r="581" customFormat="false" ht="15" hidden="false" customHeight="false" outlineLevel="0" collapsed="false">
      <c r="A581" s="28" t="str">
        <f aca="false">B581&amp;"|"&amp;C581</f>
        <v>C42301|2</v>
      </c>
      <c r="B581" s="28" t="s">
        <v>82</v>
      </c>
      <c r="C581" s="28" t="n">
        <v>2</v>
      </c>
      <c r="D581" s="28" t="s">
        <v>93</v>
      </c>
      <c r="E581" s="28" t="s">
        <v>96</v>
      </c>
      <c r="F581" s="28" t="s">
        <v>95</v>
      </c>
      <c r="G581" s="29"/>
      <c r="H581" s="29"/>
      <c r="I581" s="28"/>
      <c r="J581" s="28" t="str">
        <f aca="false">INDEX(Turmas!$K:$K,MATCH(B581,Turmas!$M:$M,0))&amp;" | "&amp;INDEX(Turmas!$L:$L,MATCH(B581,Turmas!$M:$M,0))</f>
        <v>CICLO IV  -  2º ANO | TARDE</v>
      </c>
    </row>
    <row r="582" customFormat="false" ht="15" hidden="false" customHeight="false" outlineLevel="0" collapsed="false">
      <c r="A582" s="28" t="str">
        <f aca="false">B582&amp;"|"&amp;C582</f>
        <v>C42301|3</v>
      </c>
      <c r="B582" s="28" t="s">
        <v>82</v>
      </c>
      <c r="C582" s="28" t="n">
        <v>3</v>
      </c>
      <c r="D582" s="28" t="s">
        <v>93</v>
      </c>
      <c r="E582" s="28" t="s">
        <v>97</v>
      </c>
      <c r="F582" s="28" t="s">
        <v>95</v>
      </c>
      <c r="G582" s="29"/>
      <c r="H582" s="29"/>
      <c r="I582" s="28"/>
      <c r="J582" s="28" t="str">
        <f aca="false">INDEX(Turmas!$K:$K,MATCH(B582,Turmas!$M:$M,0))&amp;" | "&amp;INDEX(Turmas!$L:$L,MATCH(B582,Turmas!$M:$M,0))</f>
        <v>CICLO IV  -  2º ANO | TARDE</v>
      </c>
    </row>
    <row r="583" customFormat="false" ht="15" hidden="false" customHeight="false" outlineLevel="0" collapsed="false">
      <c r="A583" s="28" t="str">
        <f aca="false">B583&amp;"|"&amp;C583</f>
        <v>C42301|4</v>
      </c>
      <c r="B583" s="28" t="s">
        <v>82</v>
      </c>
      <c r="C583" s="28" t="n">
        <v>4</v>
      </c>
      <c r="D583" s="28" t="s">
        <v>93</v>
      </c>
      <c r="E583" s="28" t="s">
        <v>98</v>
      </c>
      <c r="F583" s="28" t="s">
        <v>95</v>
      </c>
      <c r="G583" s="29"/>
      <c r="H583" s="29"/>
      <c r="I583" s="28"/>
      <c r="J583" s="28" t="str">
        <f aca="false">INDEX(Turmas!$K:$K,MATCH(B583,Turmas!$M:$M,0))&amp;" | "&amp;INDEX(Turmas!$L:$L,MATCH(B583,Turmas!$M:$M,0))</f>
        <v>CICLO IV  -  2º ANO | TARDE</v>
      </c>
    </row>
    <row r="584" customFormat="false" ht="15" hidden="false" customHeight="false" outlineLevel="0" collapsed="false">
      <c r="A584" s="28" t="str">
        <f aca="false">B584&amp;"|"&amp;C584</f>
        <v>C42301|5</v>
      </c>
      <c r="B584" s="28" t="s">
        <v>82</v>
      </c>
      <c r="C584" s="28" t="n">
        <v>5</v>
      </c>
      <c r="D584" s="28" t="s">
        <v>93</v>
      </c>
      <c r="E584" s="28" t="s">
        <v>99</v>
      </c>
      <c r="F584" s="28" t="s">
        <v>95</v>
      </c>
      <c r="G584" s="29"/>
      <c r="H584" s="29"/>
      <c r="I584" s="28"/>
      <c r="J584" s="28" t="str">
        <f aca="false">INDEX(Turmas!$K:$K,MATCH(B584,Turmas!$M:$M,0))&amp;" | "&amp;INDEX(Turmas!$L:$L,MATCH(B584,Turmas!$M:$M,0))</f>
        <v>CICLO IV  -  2º ANO | TARDE</v>
      </c>
    </row>
    <row r="585" customFormat="false" ht="15" hidden="false" customHeight="false" outlineLevel="0" collapsed="false">
      <c r="A585" s="28" t="str">
        <f aca="false">B585&amp;"|"&amp;C585</f>
        <v>C42301|6</v>
      </c>
      <c r="B585" s="28" t="s">
        <v>82</v>
      </c>
      <c r="C585" s="28" t="n">
        <v>6</v>
      </c>
      <c r="D585" s="28" t="s">
        <v>93</v>
      </c>
      <c r="E585" s="28" t="s">
        <v>100</v>
      </c>
      <c r="F585" s="28" t="s">
        <v>95</v>
      </c>
      <c r="G585" s="29"/>
      <c r="H585" s="29"/>
      <c r="I585" s="28"/>
      <c r="J585" s="28" t="str">
        <f aca="false">INDEX(Turmas!$K:$K,MATCH(B585,Turmas!$M:$M,0))&amp;" | "&amp;INDEX(Turmas!$L:$L,MATCH(B585,Turmas!$M:$M,0))</f>
        <v>CICLO IV  -  2º ANO | TARDE</v>
      </c>
    </row>
    <row r="586" customFormat="false" ht="15" hidden="false" customHeight="false" outlineLevel="0" collapsed="false">
      <c r="A586" s="28" t="str">
        <f aca="false">B586&amp;"|"&amp;C586</f>
        <v>C42301|7</v>
      </c>
      <c r="B586" s="28" t="s">
        <v>82</v>
      </c>
      <c r="C586" s="28" t="n">
        <v>7</v>
      </c>
      <c r="D586" s="28" t="s">
        <v>93</v>
      </c>
      <c r="E586" s="28" t="s">
        <v>101</v>
      </c>
      <c r="F586" s="28" t="s">
        <v>95</v>
      </c>
      <c r="G586" s="29"/>
      <c r="H586" s="29"/>
      <c r="I586" s="28"/>
      <c r="J586" s="28" t="str">
        <f aca="false">INDEX(Turmas!$K:$K,MATCH(B586,Turmas!$M:$M,0))&amp;" | "&amp;INDEX(Turmas!$L:$L,MATCH(B586,Turmas!$M:$M,0))</f>
        <v>CICLO IV  -  2º ANO | TARDE</v>
      </c>
    </row>
    <row r="587" customFormat="false" ht="15" hidden="false" customHeight="false" outlineLevel="0" collapsed="false">
      <c r="A587" s="28" t="str">
        <f aca="false">B587&amp;"|"&amp;C587</f>
        <v>C42301|8</v>
      </c>
      <c r="B587" s="28" t="s">
        <v>82</v>
      </c>
      <c r="C587" s="28" t="n">
        <v>8</v>
      </c>
      <c r="D587" s="28" t="s">
        <v>102</v>
      </c>
      <c r="E587" s="28" t="s">
        <v>103</v>
      </c>
      <c r="F587" s="28" t="s">
        <v>95</v>
      </c>
      <c r="G587" s="29"/>
      <c r="H587" s="29"/>
      <c r="I587" s="28"/>
      <c r="J587" s="28" t="str">
        <f aca="false">INDEX(Turmas!$K:$K,MATCH(B587,Turmas!$M:$M,0))&amp;" | "&amp;INDEX(Turmas!$L:$L,MATCH(B587,Turmas!$M:$M,0))</f>
        <v>CICLO IV  -  2º ANO | TARDE</v>
      </c>
    </row>
    <row r="588" customFormat="false" ht="15" hidden="false" customHeight="false" outlineLevel="0" collapsed="false">
      <c r="A588" s="28" t="str">
        <f aca="false">B588&amp;"|"&amp;C588</f>
        <v>C42301|9</v>
      </c>
      <c r="B588" s="28" t="s">
        <v>82</v>
      </c>
      <c r="C588" s="28" t="n">
        <v>9</v>
      </c>
      <c r="D588" s="28" t="s">
        <v>102</v>
      </c>
      <c r="E588" s="28" t="s">
        <v>104</v>
      </c>
      <c r="F588" s="28" t="s">
        <v>95</v>
      </c>
      <c r="G588" s="29"/>
      <c r="H588" s="29"/>
      <c r="I588" s="28"/>
      <c r="J588" s="28" t="str">
        <f aca="false">INDEX(Turmas!$K:$K,MATCH(B588,Turmas!$M:$M,0))&amp;" | "&amp;INDEX(Turmas!$L:$L,MATCH(B588,Turmas!$M:$M,0))</f>
        <v>CICLO IV  -  2º ANO | TARDE</v>
      </c>
    </row>
    <row r="589" customFormat="false" ht="15" hidden="false" customHeight="false" outlineLevel="0" collapsed="false">
      <c r="A589" s="28" t="str">
        <f aca="false">B589&amp;"|"&amp;C589</f>
        <v>C42301|10</v>
      </c>
      <c r="B589" s="28" t="s">
        <v>82</v>
      </c>
      <c r="C589" s="28" t="n">
        <v>10</v>
      </c>
      <c r="D589" s="28" t="s">
        <v>102</v>
      </c>
      <c r="E589" s="28" t="s">
        <v>105</v>
      </c>
      <c r="F589" s="28" t="s">
        <v>95</v>
      </c>
      <c r="G589" s="29"/>
      <c r="H589" s="29"/>
      <c r="I589" s="28"/>
      <c r="J589" s="28" t="str">
        <f aca="false">INDEX(Turmas!$K:$K,MATCH(B589,Turmas!$M:$M,0))&amp;" | "&amp;INDEX(Turmas!$L:$L,MATCH(B589,Turmas!$M:$M,0))</f>
        <v>CICLO IV  -  2º ANO | TARDE</v>
      </c>
    </row>
    <row r="590" customFormat="false" ht="15" hidden="false" customHeight="false" outlineLevel="0" collapsed="false">
      <c r="A590" s="28" t="str">
        <f aca="false">B590&amp;"|"&amp;C590</f>
        <v>C42301|11</v>
      </c>
      <c r="B590" s="28" t="s">
        <v>82</v>
      </c>
      <c r="C590" s="28" t="n">
        <v>11</v>
      </c>
      <c r="D590" s="28" t="s">
        <v>102</v>
      </c>
      <c r="E590" s="28" t="s">
        <v>106</v>
      </c>
      <c r="F590" s="28" t="s">
        <v>95</v>
      </c>
      <c r="G590" s="29"/>
      <c r="H590" s="29"/>
      <c r="I590" s="28"/>
      <c r="J590" s="28" t="str">
        <f aca="false">INDEX(Turmas!$K:$K,MATCH(B590,Turmas!$M:$M,0))&amp;" | "&amp;INDEX(Turmas!$L:$L,MATCH(B590,Turmas!$M:$M,0))</f>
        <v>CICLO IV  -  2º ANO | TARDE</v>
      </c>
    </row>
    <row r="591" customFormat="false" ht="15" hidden="false" customHeight="false" outlineLevel="0" collapsed="false">
      <c r="A591" s="28" t="str">
        <f aca="false">B591&amp;"|"&amp;C591</f>
        <v>C42301|12</v>
      </c>
      <c r="B591" s="28" t="s">
        <v>82</v>
      </c>
      <c r="C591" s="28" t="n">
        <v>12</v>
      </c>
      <c r="D591" s="28" t="s">
        <v>102</v>
      </c>
      <c r="E591" s="28" t="s">
        <v>107</v>
      </c>
      <c r="F591" s="28" t="s">
        <v>95</v>
      </c>
      <c r="G591" s="29"/>
      <c r="H591" s="29"/>
      <c r="I591" s="28"/>
      <c r="J591" s="28" t="str">
        <f aca="false">INDEX(Turmas!$K:$K,MATCH(B591,Turmas!$M:$M,0))&amp;" | "&amp;INDEX(Turmas!$L:$L,MATCH(B591,Turmas!$M:$M,0))</f>
        <v>CICLO IV  -  2º ANO | TARDE</v>
      </c>
    </row>
    <row r="592" customFormat="false" ht="15" hidden="false" customHeight="false" outlineLevel="0" collapsed="false">
      <c r="A592" s="28" t="str">
        <f aca="false">B592&amp;"|"&amp;C592</f>
        <v>C42301|13</v>
      </c>
      <c r="B592" s="28" t="s">
        <v>82</v>
      </c>
      <c r="C592" s="28" t="n">
        <v>13</v>
      </c>
      <c r="D592" s="28" t="s">
        <v>102</v>
      </c>
      <c r="E592" s="28" t="s">
        <v>108</v>
      </c>
      <c r="F592" s="28" t="s">
        <v>95</v>
      </c>
      <c r="G592" s="29"/>
      <c r="H592" s="29"/>
      <c r="I592" s="28"/>
      <c r="J592" s="28" t="str">
        <f aca="false">INDEX(Turmas!$K:$K,MATCH(B592,Turmas!$M:$M,0))&amp;" | "&amp;INDEX(Turmas!$L:$L,MATCH(B592,Turmas!$M:$M,0))</f>
        <v>CICLO IV  -  2º ANO | TARDE</v>
      </c>
    </row>
    <row r="593" customFormat="false" ht="15" hidden="false" customHeight="false" outlineLevel="0" collapsed="false">
      <c r="A593" s="28" t="str">
        <f aca="false">B593&amp;"|"&amp;C593</f>
        <v>C42301|14</v>
      </c>
      <c r="B593" s="28" t="s">
        <v>82</v>
      </c>
      <c r="C593" s="28" t="n">
        <v>14</v>
      </c>
      <c r="D593" s="28" t="s">
        <v>102</v>
      </c>
      <c r="E593" s="28" t="s">
        <v>109</v>
      </c>
      <c r="F593" s="28" t="s">
        <v>95</v>
      </c>
      <c r="G593" s="29"/>
      <c r="H593" s="29"/>
      <c r="I593" s="28"/>
      <c r="J593" s="28" t="str">
        <f aca="false">INDEX(Turmas!$K:$K,MATCH(B593,Turmas!$M:$M,0))&amp;" | "&amp;INDEX(Turmas!$L:$L,MATCH(B593,Turmas!$M:$M,0))</f>
        <v>CICLO IV  -  2º ANO | TARDE</v>
      </c>
    </row>
    <row r="594" customFormat="false" ht="15" hidden="false" customHeight="false" outlineLevel="0" collapsed="false">
      <c r="A594" s="28" t="str">
        <f aca="false">B594&amp;"|"&amp;C594</f>
        <v>C42301|15</v>
      </c>
      <c r="B594" s="28" t="s">
        <v>82</v>
      </c>
      <c r="C594" s="28" t="n">
        <v>15</v>
      </c>
      <c r="D594" s="28" t="s">
        <v>102</v>
      </c>
      <c r="E594" s="28" t="s">
        <v>110</v>
      </c>
      <c r="F594" s="28" t="s">
        <v>95</v>
      </c>
      <c r="G594" s="29"/>
      <c r="H594" s="29"/>
      <c r="I594" s="28"/>
      <c r="J594" s="28" t="str">
        <f aca="false">INDEX(Turmas!$K:$K,MATCH(B594,Turmas!$M:$M,0))&amp;" | "&amp;INDEX(Turmas!$L:$L,MATCH(B594,Turmas!$M:$M,0))</f>
        <v>CICLO IV  -  2º ANO | TARDE</v>
      </c>
    </row>
    <row r="595" customFormat="false" ht="15" hidden="false" customHeight="false" outlineLevel="0" collapsed="false">
      <c r="A595" s="28" t="str">
        <f aca="false">B595&amp;"|"&amp;C595</f>
        <v>C42301|16</v>
      </c>
      <c r="B595" s="28" t="s">
        <v>82</v>
      </c>
      <c r="C595" s="28" t="n">
        <v>16</v>
      </c>
      <c r="D595" s="28" t="s">
        <v>111</v>
      </c>
      <c r="E595" s="28" t="s">
        <v>112</v>
      </c>
      <c r="F595" s="28" t="s">
        <v>95</v>
      </c>
      <c r="G595" s="29"/>
      <c r="H595" s="29"/>
      <c r="I595" s="28"/>
      <c r="J595" s="28" t="str">
        <f aca="false">INDEX(Turmas!$K:$K,MATCH(B595,Turmas!$M:$M,0))&amp;" | "&amp;INDEX(Turmas!$L:$L,MATCH(B595,Turmas!$M:$M,0))</f>
        <v>CICLO IV  -  2º ANO | TARDE</v>
      </c>
    </row>
    <row r="596" customFormat="false" ht="15" hidden="false" customHeight="false" outlineLevel="0" collapsed="false">
      <c r="A596" s="28" t="str">
        <f aca="false">B596&amp;"|"&amp;C596</f>
        <v>C42301|17</v>
      </c>
      <c r="B596" s="28" t="s">
        <v>82</v>
      </c>
      <c r="C596" s="28" t="n">
        <v>17</v>
      </c>
      <c r="D596" s="28" t="s">
        <v>111</v>
      </c>
      <c r="E596" s="28" t="s">
        <v>113</v>
      </c>
      <c r="F596" s="28" t="s">
        <v>95</v>
      </c>
      <c r="G596" s="29"/>
      <c r="H596" s="29"/>
      <c r="I596" s="28"/>
      <c r="J596" s="28" t="str">
        <f aca="false">INDEX(Turmas!$K:$K,MATCH(B596,Turmas!$M:$M,0))&amp;" | "&amp;INDEX(Turmas!$L:$L,MATCH(B596,Turmas!$M:$M,0))</f>
        <v>CICLO IV  -  2º ANO | TARDE</v>
      </c>
    </row>
    <row r="597" customFormat="false" ht="15" hidden="false" customHeight="false" outlineLevel="0" collapsed="false">
      <c r="A597" s="28" t="str">
        <f aca="false">B597&amp;"|"&amp;C597</f>
        <v>C42301|18</v>
      </c>
      <c r="B597" s="28" t="s">
        <v>82</v>
      </c>
      <c r="C597" s="28" t="n">
        <v>18</v>
      </c>
      <c r="D597" s="28" t="s">
        <v>111</v>
      </c>
      <c r="E597" s="28" t="s">
        <v>114</v>
      </c>
      <c r="F597" s="28" t="s">
        <v>95</v>
      </c>
      <c r="G597" s="29"/>
      <c r="H597" s="29"/>
      <c r="I597" s="28"/>
      <c r="J597" s="28" t="str">
        <f aca="false">INDEX(Turmas!$K:$K,MATCH(B597,Turmas!$M:$M,0))&amp;" | "&amp;INDEX(Turmas!$L:$L,MATCH(B597,Turmas!$M:$M,0))</f>
        <v>CICLO IV  -  2º ANO | TARDE</v>
      </c>
    </row>
    <row r="598" customFormat="false" ht="15" hidden="false" customHeight="false" outlineLevel="0" collapsed="false">
      <c r="A598" s="28" t="str">
        <f aca="false">B598&amp;"|"&amp;C598</f>
        <v>C42301|19</v>
      </c>
      <c r="B598" s="28" t="s">
        <v>82</v>
      </c>
      <c r="C598" s="28" t="n">
        <v>19</v>
      </c>
      <c r="D598" s="28" t="s">
        <v>111</v>
      </c>
      <c r="E598" s="28" t="s">
        <v>115</v>
      </c>
      <c r="F598" s="28" t="s">
        <v>95</v>
      </c>
      <c r="G598" s="29"/>
      <c r="H598" s="29"/>
      <c r="I598" s="28"/>
      <c r="J598" s="28" t="str">
        <f aca="false">INDEX(Turmas!$K:$K,MATCH(B598,Turmas!$M:$M,0))&amp;" | "&amp;INDEX(Turmas!$L:$L,MATCH(B598,Turmas!$M:$M,0))</f>
        <v>CICLO IV  -  2º ANO | TARDE</v>
      </c>
    </row>
    <row r="599" customFormat="false" ht="15" hidden="false" customHeight="false" outlineLevel="0" collapsed="false">
      <c r="A599" s="28" t="str">
        <f aca="false">B599&amp;"|"&amp;C599</f>
        <v>C42301|20</v>
      </c>
      <c r="B599" s="28" t="s">
        <v>82</v>
      </c>
      <c r="C599" s="28" t="n">
        <v>20</v>
      </c>
      <c r="D599" s="28" t="s">
        <v>111</v>
      </c>
      <c r="E599" s="28" t="s">
        <v>116</v>
      </c>
      <c r="F599" s="28" t="s">
        <v>95</v>
      </c>
      <c r="G599" s="29"/>
      <c r="H599" s="29"/>
      <c r="I599" s="28"/>
      <c r="J599" s="28" t="str">
        <f aca="false">INDEX(Turmas!$K:$K,MATCH(B599,Turmas!$M:$M,0))&amp;" | "&amp;INDEX(Turmas!$L:$L,MATCH(B599,Turmas!$M:$M,0))</f>
        <v>CICLO IV  -  2º ANO | TARDE</v>
      </c>
    </row>
    <row r="600" customFormat="false" ht="15" hidden="false" customHeight="false" outlineLevel="0" collapsed="false">
      <c r="A600" s="28" t="str">
        <f aca="false">B600&amp;"|"&amp;C600</f>
        <v>C42301|21</v>
      </c>
      <c r="B600" s="28" t="s">
        <v>82</v>
      </c>
      <c r="C600" s="28" t="n">
        <v>21</v>
      </c>
      <c r="D600" s="28" t="s">
        <v>111</v>
      </c>
      <c r="E600" s="28" t="s">
        <v>117</v>
      </c>
      <c r="F600" s="28" t="s">
        <v>95</v>
      </c>
      <c r="G600" s="29"/>
      <c r="H600" s="29"/>
      <c r="I600" s="28"/>
      <c r="J600" s="28" t="str">
        <f aca="false">INDEX(Turmas!$K:$K,MATCH(B600,Turmas!$M:$M,0))&amp;" | "&amp;INDEX(Turmas!$L:$L,MATCH(B600,Turmas!$M:$M,0))</f>
        <v>CICLO IV  -  2º ANO | TARDE</v>
      </c>
    </row>
    <row r="601" customFormat="false" ht="15" hidden="false" customHeight="false" outlineLevel="0" collapsed="false">
      <c r="A601" s="28" t="str">
        <f aca="false">B601&amp;"|"&amp;C601</f>
        <v>C42301|22</v>
      </c>
      <c r="B601" s="28" t="s">
        <v>82</v>
      </c>
      <c r="C601" s="28" t="n">
        <v>22</v>
      </c>
      <c r="D601" s="28" t="s">
        <v>111</v>
      </c>
      <c r="E601" s="28" t="s">
        <v>118</v>
      </c>
      <c r="F601" s="28" t="s">
        <v>95</v>
      </c>
      <c r="G601" s="29"/>
      <c r="H601" s="29"/>
      <c r="I601" s="28"/>
      <c r="J601" s="28" t="str">
        <f aca="false">INDEX(Turmas!$K:$K,MATCH(B601,Turmas!$M:$M,0))&amp;" | "&amp;INDEX(Turmas!$L:$L,MATCH(B601,Turmas!$M:$M,0))</f>
        <v>CICLO IV  -  2º ANO | TARDE</v>
      </c>
    </row>
    <row r="602" customFormat="false" ht="15" hidden="false" customHeight="false" outlineLevel="0" collapsed="false">
      <c r="A602" s="28" t="str">
        <f aca="false">B602&amp;"|"&amp;C602</f>
        <v>C42301|23</v>
      </c>
      <c r="B602" s="28" t="s">
        <v>82</v>
      </c>
      <c r="C602" s="28" t="n">
        <v>23</v>
      </c>
      <c r="D602" s="28" t="s">
        <v>111</v>
      </c>
      <c r="E602" s="28" t="s">
        <v>119</v>
      </c>
      <c r="F602" s="28" t="s">
        <v>95</v>
      </c>
      <c r="G602" s="29"/>
      <c r="H602" s="29"/>
      <c r="I602" s="28"/>
      <c r="J602" s="28" t="str">
        <f aca="false">INDEX(Turmas!$K:$K,MATCH(B602,Turmas!$M:$M,0))&amp;" | "&amp;INDEX(Turmas!$L:$L,MATCH(B602,Turmas!$M:$M,0))</f>
        <v>CICLO IV  -  2º ANO | TARDE</v>
      </c>
    </row>
    <row r="603" customFormat="false" ht="15" hidden="false" customHeight="false" outlineLevel="0" collapsed="false">
      <c r="A603" s="28" t="str">
        <f aca="false">B603&amp;"|"&amp;C603</f>
        <v>C42301|24</v>
      </c>
      <c r="B603" s="28" t="s">
        <v>82</v>
      </c>
      <c r="C603" s="28" t="n">
        <v>24</v>
      </c>
      <c r="D603" s="28" t="s">
        <v>111</v>
      </c>
      <c r="E603" s="28" t="s">
        <v>120</v>
      </c>
      <c r="F603" s="28" t="s">
        <v>95</v>
      </c>
      <c r="G603" s="29"/>
      <c r="H603" s="29"/>
      <c r="I603" s="28"/>
      <c r="J603" s="28" t="str">
        <f aca="false">INDEX(Turmas!$K:$K,MATCH(B603,Turmas!$M:$M,0))&amp;" | "&amp;INDEX(Turmas!$L:$L,MATCH(B603,Turmas!$M:$M,0))</f>
        <v>CICLO IV  -  2º ANO | TARDE</v>
      </c>
    </row>
    <row r="604" customFormat="false" ht="15" hidden="false" customHeight="false" outlineLevel="0" collapsed="false">
      <c r="A604" s="28" t="str">
        <f aca="false">B604&amp;"|"&amp;C604</f>
        <v>C42301|25</v>
      </c>
      <c r="B604" s="28" t="s">
        <v>82</v>
      </c>
      <c r="C604" s="28" t="n">
        <v>25</v>
      </c>
      <c r="D604" s="28" t="s">
        <v>121</v>
      </c>
      <c r="E604" s="28" t="s">
        <v>122</v>
      </c>
      <c r="F604" s="28" t="s">
        <v>95</v>
      </c>
      <c r="G604" s="29"/>
      <c r="H604" s="29"/>
      <c r="I604" s="28"/>
      <c r="J604" s="28" t="str">
        <f aca="false">INDEX(Turmas!$K:$K,MATCH(B604,Turmas!$M:$M,0))&amp;" | "&amp;INDEX(Turmas!$L:$L,MATCH(B604,Turmas!$M:$M,0))</f>
        <v>CICLO IV  -  2º ANO | TARDE</v>
      </c>
    </row>
    <row r="605" customFormat="false" ht="15" hidden="false" customHeight="false" outlineLevel="0" collapsed="false">
      <c r="A605" s="28" t="str">
        <f aca="false">B605&amp;"|"&amp;C605</f>
        <v>C42301|26</v>
      </c>
      <c r="B605" s="28" t="s">
        <v>82</v>
      </c>
      <c r="C605" s="28" t="n">
        <v>26</v>
      </c>
      <c r="D605" s="28" t="s">
        <v>121</v>
      </c>
      <c r="E605" s="28" t="s">
        <v>123</v>
      </c>
      <c r="F605" s="28" t="s">
        <v>95</v>
      </c>
      <c r="G605" s="29"/>
      <c r="H605" s="29"/>
      <c r="I605" s="28"/>
      <c r="J605" s="28" t="str">
        <f aca="false">INDEX(Turmas!$K:$K,MATCH(B605,Turmas!$M:$M,0))&amp;" | "&amp;INDEX(Turmas!$L:$L,MATCH(B605,Turmas!$M:$M,0))</f>
        <v>CICLO IV  -  2º ANO | TARDE</v>
      </c>
    </row>
    <row r="606" customFormat="false" ht="15" hidden="false" customHeight="false" outlineLevel="0" collapsed="false">
      <c r="A606" s="28" t="str">
        <f aca="false">B606&amp;"|"&amp;C606</f>
        <v>C42301|27</v>
      </c>
      <c r="B606" s="28" t="s">
        <v>82</v>
      </c>
      <c r="C606" s="28" t="n">
        <v>27</v>
      </c>
      <c r="D606" s="28" t="s">
        <v>121</v>
      </c>
      <c r="E606" s="28" t="s">
        <v>124</v>
      </c>
      <c r="F606" s="28" t="s">
        <v>95</v>
      </c>
      <c r="G606" s="29"/>
      <c r="H606" s="29"/>
      <c r="I606" s="28"/>
      <c r="J606" s="28" t="str">
        <f aca="false">INDEX(Turmas!$K:$K,MATCH(B606,Turmas!$M:$M,0))&amp;" | "&amp;INDEX(Turmas!$L:$L,MATCH(B606,Turmas!$M:$M,0))</f>
        <v>CICLO IV  -  2º ANO | TARDE</v>
      </c>
    </row>
    <row r="607" customFormat="false" ht="15" hidden="false" customHeight="false" outlineLevel="0" collapsed="false">
      <c r="A607" s="28" t="str">
        <f aca="false">B607&amp;"|"&amp;C607</f>
        <v>C42301|28</v>
      </c>
      <c r="B607" s="28" t="s">
        <v>82</v>
      </c>
      <c r="C607" s="28" t="n">
        <v>28</v>
      </c>
      <c r="D607" s="28" t="s">
        <v>121</v>
      </c>
      <c r="E607" s="28" t="s">
        <v>125</v>
      </c>
      <c r="F607" s="28" t="s">
        <v>95</v>
      </c>
      <c r="G607" s="29"/>
      <c r="H607" s="29"/>
      <c r="I607" s="28"/>
      <c r="J607" s="28" t="str">
        <f aca="false">INDEX(Turmas!$K:$K,MATCH(B607,Turmas!$M:$M,0))&amp;" | "&amp;INDEX(Turmas!$L:$L,MATCH(B607,Turmas!$M:$M,0))</f>
        <v>CICLO IV  -  2º ANO | TARDE</v>
      </c>
    </row>
    <row r="608" customFormat="false" ht="15" hidden="false" customHeight="false" outlineLevel="0" collapsed="false">
      <c r="A608" s="28" t="str">
        <f aca="false">B608&amp;"|"&amp;C608</f>
        <v>C42301|29</v>
      </c>
      <c r="B608" s="28" t="s">
        <v>82</v>
      </c>
      <c r="C608" s="28" t="n">
        <v>29</v>
      </c>
      <c r="D608" s="28" t="s">
        <v>121</v>
      </c>
      <c r="E608" s="28" t="s">
        <v>126</v>
      </c>
      <c r="F608" s="28" t="s">
        <v>95</v>
      </c>
      <c r="G608" s="29"/>
      <c r="H608" s="29"/>
      <c r="I608" s="28"/>
      <c r="J608" s="28" t="str">
        <f aca="false">INDEX(Turmas!$K:$K,MATCH(B608,Turmas!$M:$M,0))&amp;" | "&amp;INDEX(Turmas!$L:$L,MATCH(B608,Turmas!$M:$M,0))</f>
        <v>CICLO IV  -  2º ANO | TARDE</v>
      </c>
    </row>
    <row r="609" customFormat="false" ht="15" hidden="false" customHeight="false" outlineLevel="0" collapsed="false">
      <c r="A609" s="28" t="str">
        <f aca="false">B609&amp;"|"&amp;C609</f>
        <v>C42301|30</v>
      </c>
      <c r="B609" s="28" t="s">
        <v>82</v>
      </c>
      <c r="C609" s="28" t="n">
        <v>30</v>
      </c>
      <c r="D609" s="28" t="s">
        <v>127</v>
      </c>
      <c r="E609" s="28" t="s">
        <v>128</v>
      </c>
      <c r="F609" s="28" t="s">
        <v>95</v>
      </c>
      <c r="G609" s="29"/>
      <c r="H609" s="29"/>
      <c r="I609" s="28"/>
      <c r="J609" s="28" t="str">
        <f aca="false">INDEX(Turmas!$K:$K,MATCH(B609,Turmas!$M:$M,0))&amp;" | "&amp;INDEX(Turmas!$L:$L,MATCH(B609,Turmas!$M:$M,0))</f>
        <v>CICLO IV  -  2º ANO | TARDE</v>
      </c>
    </row>
    <row r="610" customFormat="false" ht="15" hidden="false" customHeight="false" outlineLevel="0" collapsed="false">
      <c r="A610" s="28" t="str">
        <f aca="false">B610&amp;"|"&amp;C610</f>
        <v>C42301|31</v>
      </c>
      <c r="B610" s="28" t="s">
        <v>82</v>
      </c>
      <c r="C610" s="28" t="n">
        <v>31</v>
      </c>
      <c r="D610" s="28" t="s">
        <v>127</v>
      </c>
      <c r="E610" s="28" t="s">
        <v>108</v>
      </c>
      <c r="F610" s="28" t="s">
        <v>95</v>
      </c>
      <c r="G610" s="29"/>
      <c r="H610" s="29"/>
      <c r="I610" s="28"/>
      <c r="J610" s="28" t="str">
        <f aca="false">INDEX(Turmas!$K:$K,MATCH(B610,Turmas!$M:$M,0))&amp;" | "&amp;INDEX(Turmas!$L:$L,MATCH(B610,Turmas!$M:$M,0))</f>
        <v>CICLO IV  -  2º ANO | TARDE</v>
      </c>
    </row>
    <row r="611" customFormat="false" ht="15" hidden="false" customHeight="false" outlineLevel="0" collapsed="false">
      <c r="A611" s="28" t="str">
        <f aca="false">B611&amp;"|"&amp;C611</f>
        <v>C42301|32</v>
      </c>
      <c r="B611" s="28" t="s">
        <v>82</v>
      </c>
      <c r="C611" s="28" t="n">
        <v>32</v>
      </c>
      <c r="D611" s="28" t="s">
        <v>127</v>
      </c>
      <c r="E611" s="28" t="s">
        <v>129</v>
      </c>
      <c r="F611" s="28" t="s">
        <v>95</v>
      </c>
      <c r="G611" s="29"/>
      <c r="H611" s="29"/>
      <c r="I611" s="28"/>
      <c r="J611" s="28" t="str">
        <f aca="false">INDEX(Turmas!$K:$K,MATCH(B611,Turmas!$M:$M,0))&amp;" | "&amp;INDEX(Turmas!$L:$L,MATCH(B611,Turmas!$M:$M,0))</f>
        <v>CICLO IV  -  2º ANO | TARDE</v>
      </c>
    </row>
    <row r="612" customFormat="false" ht="15" hidden="false" customHeight="false" outlineLevel="0" collapsed="false">
      <c r="A612" s="28" t="str">
        <f aca="false">B612&amp;"|"&amp;C612</f>
        <v>C42301|33</v>
      </c>
      <c r="B612" s="28" t="s">
        <v>82</v>
      </c>
      <c r="C612" s="28" t="n">
        <v>33</v>
      </c>
      <c r="D612" s="28" t="s">
        <v>127</v>
      </c>
      <c r="E612" s="28" t="s">
        <v>130</v>
      </c>
      <c r="F612" s="28" t="s">
        <v>95</v>
      </c>
      <c r="G612" s="29"/>
      <c r="H612" s="29"/>
      <c r="I612" s="28"/>
      <c r="J612" s="28" t="str">
        <f aca="false">INDEX(Turmas!$K:$K,MATCH(B612,Turmas!$M:$M,0))&amp;" | "&amp;INDEX(Turmas!$L:$L,MATCH(B612,Turmas!$M:$M,0))</f>
        <v>CICLO IV  -  2º ANO | TARDE</v>
      </c>
    </row>
    <row r="613" customFormat="false" ht="15" hidden="false" customHeight="false" outlineLevel="0" collapsed="false">
      <c r="A613" s="28" t="str">
        <f aca="false">B613&amp;"|"&amp;C613</f>
        <v>C42301|34</v>
      </c>
      <c r="B613" s="28" t="s">
        <v>82</v>
      </c>
      <c r="C613" s="28" t="n">
        <v>34</v>
      </c>
      <c r="D613" s="28" t="s">
        <v>127</v>
      </c>
      <c r="E613" s="28" t="s">
        <v>131</v>
      </c>
      <c r="F613" s="28" t="s">
        <v>95</v>
      </c>
      <c r="G613" s="29"/>
      <c r="H613" s="29"/>
      <c r="I613" s="28"/>
      <c r="J613" s="28" t="str">
        <f aca="false">INDEX(Turmas!$K:$K,MATCH(B613,Turmas!$M:$M,0))&amp;" | "&amp;INDEX(Turmas!$L:$L,MATCH(B613,Turmas!$M:$M,0))</f>
        <v>CICLO IV  -  2º ANO | TARDE</v>
      </c>
    </row>
    <row r="614" customFormat="false" ht="15" hidden="false" customHeight="false" outlineLevel="0" collapsed="false">
      <c r="A614" s="28" t="str">
        <f aca="false">B614&amp;"|"&amp;C614</f>
        <v>C41303|1</v>
      </c>
      <c r="B614" s="28" t="s">
        <v>83</v>
      </c>
      <c r="C614" s="28" t="n">
        <v>1</v>
      </c>
      <c r="D614" s="28" t="s">
        <v>93</v>
      </c>
      <c r="E614" s="28" t="s">
        <v>94</v>
      </c>
      <c r="F614" s="28" t="s">
        <v>95</v>
      </c>
      <c r="G614" s="29"/>
      <c r="H614" s="29"/>
      <c r="I614" s="28"/>
      <c r="J614" s="28" t="str">
        <f aca="false">INDEX(Turmas!$K:$K,MATCH(B614,Turmas!$M:$M,0))&amp;" | "&amp;INDEX(Turmas!$L:$L,MATCH(B614,Turmas!$M:$M,0))</f>
        <v>CICLO IV  -  1º ANO | TARDE</v>
      </c>
    </row>
    <row r="615" customFormat="false" ht="15" hidden="false" customHeight="false" outlineLevel="0" collapsed="false">
      <c r="A615" s="28" t="str">
        <f aca="false">B615&amp;"|"&amp;C615</f>
        <v>C41303|2</v>
      </c>
      <c r="B615" s="28" t="s">
        <v>83</v>
      </c>
      <c r="C615" s="28" t="n">
        <v>2</v>
      </c>
      <c r="D615" s="28" t="s">
        <v>93</v>
      </c>
      <c r="E615" s="28" t="s">
        <v>96</v>
      </c>
      <c r="F615" s="28" t="s">
        <v>95</v>
      </c>
      <c r="G615" s="29"/>
      <c r="H615" s="29"/>
      <c r="I615" s="28"/>
      <c r="J615" s="28" t="str">
        <f aca="false">INDEX(Turmas!$K:$K,MATCH(B615,Turmas!$M:$M,0))&amp;" | "&amp;INDEX(Turmas!$L:$L,MATCH(B615,Turmas!$M:$M,0))</f>
        <v>CICLO IV  -  1º ANO | TARDE</v>
      </c>
    </row>
    <row r="616" customFormat="false" ht="15" hidden="false" customHeight="false" outlineLevel="0" collapsed="false">
      <c r="A616" s="28" t="str">
        <f aca="false">B616&amp;"|"&amp;C616</f>
        <v>C41303|3</v>
      </c>
      <c r="B616" s="28" t="s">
        <v>83</v>
      </c>
      <c r="C616" s="28" t="n">
        <v>3</v>
      </c>
      <c r="D616" s="28" t="s">
        <v>93</v>
      </c>
      <c r="E616" s="28" t="s">
        <v>97</v>
      </c>
      <c r="F616" s="28" t="s">
        <v>95</v>
      </c>
      <c r="G616" s="29"/>
      <c r="H616" s="29"/>
      <c r="I616" s="28"/>
      <c r="J616" s="28" t="str">
        <f aca="false">INDEX(Turmas!$K:$K,MATCH(B616,Turmas!$M:$M,0))&amp;" | "&amp;INDEX(Turmas!$L:$L,MATCH(B616,Turmas!$M:$M,0))</f>
        <v>CICLO IV  -  1º ANO | TARDE</v>
      </c>
    </row>
    <row r="617" customFormat="false" ht="15" hidden="false" customHeight="false" outlineLevel="0" collapsed="false">
      <c r="A617" s="28" t="str">
        <f aca="false">B617&amp;"|"&amp;C617</f>
        <v>C41303|4</v>
      </c>
      <c r="B617" s="28" t="s">
        <v>83</v>
      </c>
      <c r="C617" s="28" t="n">
        <v>4</v>
      </c>
      <c r="D617" s="28" t="s">
        <v>93</v>
      </c>
      <c r="E617" s="28" t="s">
        <v>98</v>
      </c>
      <c r="F617" s="28" t="s">
        <v>95</v>
      </c>
      <c r="G617" s="29"/>
      <c r="H617" s="29"/>
      <c r="I617" s="28"/>
      <c r="J617" s="28" t="str">
        <f aca="false">INDEX(Turmas!$K:$K,MATCH(B617,Turmas!$M:$M,0))&amp;" | "&amp;INDEX(Turmas!$L:$L,MATCH(B617,Turmas!$M:$M,0))</f>
        <v>CICLO IV  -  1º ANO | TARDE</v>
      </c>
    </row>
    <row r="618" customFormat="false" ht="15" hidden="false" customHeight="false" outlineLevel="0" collapsed="false">
      <c r="A618" s="28" t="str">
        <f aca="false">B618&amp;"|"&amp;C618</f>
        <v>C41303|5</v>
      </c>
      <c r="B618" s="28" t="s">
        <v>83</v>
      </c>
      <c r="C618" s="28" t="n">
        <v>5</v>
      </c>
      <c r="D618" s="28" t="s">
        <v>93</v>
      </c>
      <c r="E618" s="28" t="s">
        <v>99</v>
      </c>
      <c r="F618" s="28" t="s">
        <v>95</v>
      </c>
      <c r="G618" s="29"/>
      <c r="H618" s="29"/>
      <c r="I618" s="28"/>
      <c r="J618" s="28" t="str">
        <f aca="false">INDEX(Turmas!$K:$K,MATCH(B618,Turmas!$M:$M,0))&amp;" | "&amp;INDEX(Turmas!$L:$L,MATCH(B618,Turmas!$M:$M,0))</f>
        <v>CICLO IV  -  1º ANO | TARDE</v>
      </c>
    </row>
    <row r="619" customFormat="false" ht="15" hidden="false" customHeight="false" outlineLevel="0" collapsed="false">
      <c r="A619" s="28" t="str">
        <f aca="false">B619&amp;"|"&amp;C619</f>
        <v>C41303|6</v>
      </c>
      <c r="B619" s="28" t="s">
        <v>83</v>
      </c>
      <c r="C619" s="28" t="n">
        <v>6</v>
      </c>
      <c r="D619" s="28" t="s">
        <v>93</v>
      </c>
      <c r="E619" s="28" t="s">
        <v>100</v>
      </c>
      <c r="F619" s="28" t="s">
        <v>95</v>
      </c>
      <c r="G619" s="29"/>
      <c r="H619" s="29"/>
      <c r="I619" s="28"/>
      <c r="J619" s="28" t="str">
        <f aca="false">INDEX(Turmas!$K:$K,MATCH(B619,Turmas!$M:$M,0))&amp;" | "&amp;INDEX(Turmas!$L:$L,MATCH(B619,Turmas!$M:$M,0))</f>
        <v>CICLO IV  -  1º ANO | TARDE</v>
      </c>
    </row>
    <row r="620" customFormat="false" ht="15" hidden="false" customHeight="false" outlineLevel="0" collapsed="false">
      <c r="A620" s="28" t="str">
        <f aca="false">B620&amp;"|"&amp;C620</f>
        <v>C41303|7</v>
      </c>
      <c r="B620" s="28" t="s">
        <v>83</v>
      </c>
      <c r="C620" s="28" t="n">
        <v>7</v>
      </c>
      <c r="D620" s="28" t="s">
        <v>93</v>
      </c>
      <c r="E620" s="28" t="s">
        <v>101</v>
      </c>
      <c r="F620" s="28" t="s">
        <v>95</v>
      </c>
      <c r="G620" s="29"/>
      <c r="H620" s="29"/>
      <c r="I620" s="28"/>
      <c r="J620" s="28" t="str">
        <f aca="false">INDEX(Turmas!$K:$K,MATCH(B620,Turmas!$M:$M,0))&amp;" | "&amp;INDEX(Turmas!$L:$L,MATCH(B620,Turmas!$M:$M,0))</f>
        <v>CICLO IV  -  1º ANO | TARDE</v>
      </c>
    </row>
    <row r="621" customFormat="false" ht="15" hidden="false" customHeight="false" outlineLevel="0" collapsed="false">
      <c r="A621" s="28" t="str">
        <f aca="false">B621&amp;"|"&amp;C621</f>
        <v>C41303|8</v>
      </c>
      <c r="B621" s="28" t="s">
        <v>83</v>
      </c>
      <c r="C621" s="28" t="n">
        <v>8</v>
      </c>
      <c r="D621" s="28" t="s">
        <v>102</v>
      </c>
      <c r="E621" s="28" t="s">
        <v>103</v>
      </c>
      <c r="F621" s="28" t="s">
        <v>95</v>
      </c>
      <c r="G621" s="29"/>
      <c r="H621" s="29"/>
      <c r="I621" s="28"/>
      <c r="J621" s="28" t="str">
        <f aca="false">INDEX(Turmas!$K:$K,MATCH(B621,Turmas!$M:$M,0))&amp;" | "&amp;INDEX(Turmas!$L:$L,MATCH(B621,Turmas!$M:$M,0))</f>
        <v>CICLO IV  -  1º ANO | TARDE</v>
      </c>
    </row>
    <row r="622" customFormat="false" ht="15" hidden="false" customHeight="false" outlineLevel="0" collapsed="false">
      <c r="A622" s="28" t="str">
        <f aca="false">B622&amp;"|"&amp;C622</f>
        <v>C41303|9</v>
      </c>
      <c r="B622" s="28" t="s">
        <v>83</v>
      </c>
      <c r="C622" s="28" t="n">
        <v>9</v>
      </c>
      <c r="D622" s="28" t="s">
        <v>102</v>
      </c>
      <c r="E622" s="28" t="s">
        <v>104</v>
      </c>
      <c r="F622" s="28" t="s">
        <v>95</v>
      </c>
      <c r="G622" s="29"/>
      <c r="H622" s="29"/>
      <c r="I622" s="28"/>
      <c r="J622" s="28" t="str">
        <f aca="false">INDEX(Turmas!$K:$K,MATCH(B622,Turmas!$M:$M,0))&amp;" | "&amp;INDEX(Turmas!$L:$L,MATCH(B622,Turmas!$M:$M,0))</f>
        <v>CICLO IV  -  1º ANO | TARDE</v>
      </c>
    </row>
    <row r="623" customFormat="false" ht="15" hidden="false" customHeight="false" outlineLevel="0" collapsed="false">
      <c r="A623" s="28" t="str">
        <f aca="false">B623&amp;"|"&amp;C623</f>
        <v>C41303|10</v>
      </c>
      <c r="B623" s="28" t="s">
        <v>83</v>
      </c>
      <c r="C623" s="28" t="n">
        <v>10</v>
      </c>
      <c r="D623" s="28" t="s">
        <v>102</v>
      </c>
      <c r="E623" s="28" t="s">
        <v>105</v>
      </c>
      <c r="F623" s="28" t="s">
        <v>95</v>
      </c>
      <c r="G623" s="29"/>
      <c r="H623" s="29"/>
      <c r="I623" s="28"/>
      <c r="J623" s="28" t="str">
        <f aca="false">INDEX(Turmas!$K:$K,MATCH(B623,Turmas!$M:$M,0))&amp;" | "&amp;INDEX(Turmas!$L:$L,MATCH(B623,Turmas!$M:$M,0))</f>
        <v>CICLO IV  -  1º ANO | TARDE</v>
      </c>
    </row>
    <row r="624" customFormat="false" ht="15" hidden="false" customHeight="false" outlineLevel="0" collapsed="false">
      <c r="A624" s="28" t="str">
        <f aca="false">B624&amp;"|"&amp;C624</f>
        <v>C41303|11</v>
      </c>
      <c r="B624" s="28" t="s">
        <v>83</v>
      </c>
      <c r="C624" s="28" t="n">
        <v>11</v>
      </c>
      <c r="D624" s="28" t="s">
        <v>102</v>
      </c>
      <c r="E624" s="28" t="s">
        <v>106</v>
      </c>
      <c r="F624" s="28" t="s">
        <v>95</v>
      </c>
      <c r="G624" s="29"/>
      <c r="H624" s="29"/>
      <c r="I624" s="28"/>
      <c r="J624" s="28" t="str">
        <f aca="false">INDEX(Turmas!$K:$K,MATCH(B624,Turmas!$M:$M,0))&amp;" | "&amp;INDEX(Turmas!$L:$L,MATCH(B624,Turmas!$M:$M,0))</f>
        <v>CICLO IV  -  1º ANO | TARDE</v>
      </c>
    </row>
    <row r="625" customFormat="false" ht="15" hidden="false" customHeight="false" outlineLevel="0" collapsed="false">
      <c r="A625" s="28" t="str">
        <f aca="false">B625&amp;"|"&amp;C625</f>
        <v>C41303|12</v>
      </c>
      <c r="B625" s="28" t="s">
        <v>83</v>
      </c>
      <c r="C625" s="28" t="n">
        <v>12</v>
      </c>
      <c r="D625" s="28" t="s">
        <v>102</v>
      </c>
      <c r="E625" s="28" t="s">
        <v>107</v>
      </c>
      <c r="F625" s="28" t="s">
        <v>95</v>
      </c>
      <c r="G625" s="29"/>
      <c r="H625" s="29"/>
      <c r="I625" s="28"/>
      <c r="J625" s="28" t="str">
        <f aca="false">INDEX(Turmas!$K:$K,MATCH(B625,Turmas!$M:$M,0))&amp;" | "&amp;INDEX(Turmas!$L:$L,MATCH(B625,Turmas!$M:$M,0))</f>
        <v>CICLO IV  -  1º ANO | TARDE</v>
      </c>
    </row>
    <row r="626" customFormat="false" ht="15" hidden="false" customHeight="false" outlineLevel="0" collapsed="false">
      <c r="A626" s="28" t="str">
        <f aca="false">B626&amp;"|"&amp;C626</f>
        <v>C41303|13</v>
      </c>
      <c r="B626" s="28" t="s">
        <v>83</v>
      </c>
      <c r="C626" s="28" t="n">
        <v>13</v>
      </c>
      <c r="D626" s="28" t="s">
        <v>102</v>
      </c>
      <c r="E626" s="28" t="s">
        <v>108</v>
      </c>
      <c r="F626" s="28" t="s">
        <v>95</v>
      </c>
      <c r="G626" s="29"/>
      <c r="H626" s="29"/>
      <c r="I626" s="28"/>
      <c r="J626" s="28" t="str">
        <f aca="false">INDEX(Turmas!$K:$K,MATCH(B626,Turmas!$M:$M,0))&amp;" | "&amp;INDEX(Turmas!$L:$L,MATCH(B626,Turmas!$M:$M,0))</f>
        <v>CICLO IV  -  1º ANO | TARDE</v>
      </c>
    </row>
    <row r="627" customFormat="false" ht="15" hidden="false" customHeight="false" outlineLevel="0" collapsed="false">
      <c r="A627" s="28" t="str">
        <f aca="false">B627&amp;"|"&amp;C627</f>
        <v>C41303|14</v>
      </c>
      <c r="B627" s="28" t="s">
        <v>83</v>
      </c>
      <c r="C627" s="28" t="n">
        <v>14</v>
      </c>
      <c r="D627" s="28" t="s">
        <v>102</v>
      </c>
      <c r="E627" s="28" t="s">
        <v>109</v>
      </c>
      <c r="F627" s="28" t="s">
        <v>95</v>
      </c>
      <c r="G627" s="29"/>
      <c r="H627" s="29"/>
      <c r="I627" s="28"/>
      <c r="J627" s="28" t="str">
        <f aca="false">INDEX(Turmas!$K:$K,MATCH(B627,Turmas!$M:$M,0))&amp;" | "&amp;INDEX(Turmas!$L:$L,MATCH(B627,Turmas!$M:$M,0))</f>
        <v>CICLO IV  -  1º ANO | TARDE</v>
      </c>
    </row>
    <row r="628" customFormat="false" ht="15" hidden="false" customHeight="false" outlineLevel="0" collapsed="false">
      <c r="A628" s="28" t="str">
        <f aca="false">B628&amp;"|"&amp;C628</f>
        <v>C41303|15</v>
      </c>
      <c r="B628" s="28" t="s">
        <v>83</v>
      </c>
      <c r="C628" s="28" t="n">
        <v>15</v>
      </c>
      <c r="D628" s="28" t="s">
        <v>102</v>
      </c>
      <c r="E628" s="28" t="s">
        <v>110</v>
      </c>
      <c r="F628" s="28" t="s">
        <v>95</v>
      </c>
      <c r="G628" s="29"/>
      <c r="H628" s="29"/>
      <c r="I628" s="28"/>
      <c r="J628" s="28" t="str">
        <f aca="false">INDEX(Turmas!$K:$K,MATCH(B628,Turmas!$M:$M,0))&amp;" | "&amp;INDEX(Turmas!$L:$L,MATCH(B628,Turmas!$M:$M,0))</f>
        <v>CICLO IV  -  1º ANO | TARDE</v>
      </c>
    </row>
    <row r="629" customFormat="false" ht="15" hidden="false" customHeight="false" outlineLevel="0" collapsed="false">
      <c r="A629" s="28" t="str">
        <f aca="false">B629&amp;"|"&amp;C629</f>
        <v>C41303|16</v>
      </c>
      <c r="B629" s="28" t="s">
        <v>83</v>
      </c>
      <c r="C629" s="28" t="n">
        <v>16</v>
      </c>
      <c r="D629" s="28" t="s">
        <v>111</v>
      </c>
      <c r="E629" s="28" t="s">
        <v>112</v>
      </c>
      <c r="F629" s="28" t="s">
        <v>95</v>
      </c>
      <c r="G629" s="29"/>
      <c r="H629" s="29"/>
      <c r="I629" s="28"/>
      <c r="J629" s="28" t="str">
        <f aca="false">INDEX(Turmas!$K:$K,MATCH(B629,Turmas!$M:$M,0))&amp;" | "&amp;INDEX(Turmas!$L:$L,MATCH(B629,Turmas!$M:$M,0))</f>
        <v>CICLO IV  -  1º ANO | TARDE</v>
      </c>
    </row>
    <row r="630" customFormat="false" ht="15" hidden="false" customHeight="false" outlineLevel="0" collapsed="false">
      <c r="A630" s="28" t="str">
        <f aca="false">B630&amp;"|"&amp;C630</f>
        <v>C41303|17</v>
      </c>
      <c r="B630" s="28" t="s">
        <v>83</v>
      </c>
      <c r="C630" s="28" t="n">
        <v>17</v>
      </c>
      <c r="D630" s="28" t="s">
        <v>111</v>
      </c>
      <c r="E630" s="28" t="s">
        <v>113</v>
      </c>
      <c r="F630" s="28" t="s">
        <v>95</v>
      </c>
      <c r="G630" s="29"/>
      <c r="H630" s="29"/>
      <c r="I630" s="28"/>
      <c r="J630" s="28" t="str">
        <f aca="false">INDEX(Turmas!$K:$K,MATCH(B630,Turmas!$M:$M,0))&amp;" | "&amp;INDEX(Turmas!$L:$L,MATCH(B630,Turmas!$M:$M,0))</f>
        <v>CICLO IV  -  1º ANO | TARDE</v>
      </c>
    </row>
    <row r="631" customFormat="false" ht="15" hidden="false" customHeight="false" outlineLevel="0" collapsed="false">
      <c r="A631" s="28" t="str">
        <f aca="false">B631&amp;"|"&amp;C631</f>
        <v>C41303|18</v>
      </c>
      <c r="B631" s="28" t="s">
        <v>83</v>
      </c>
      <c r="C631" s="28" t="n">
        <v>18</v>
      </c>
      <c r="D631" s="28" t="s">
        <v>111</v>
      </c>
      <c r="E631" s="28" t="s">
        <v>114</v>
      </c>
      <c r="F631" s="28" t="s">
        <v>95</v>
      </c>
      <c r="G631" s="29"/>
      <c r="H631" s="29"/>
      <c r="I631" s="28"/>
      <c r="J631" s="28" t="str">
        <f aca="false">INDEX(Turmas!$K:$K,MATCH(B631,Turmas!$M:$M,0))&amp;" | "&amp;INDEX(Turmas!$L:$L,MATCH(B631,Turmas!$M:$M,0))</f>
        <v>CICLO IV  -  1º ANO | TARDE</v>
      </c>
    </row>
    <row r="632" customFormat="false" ht="15" hidden="false" customHeight="false" outlineLevel="0" collapsed="false">
      <c r="A632" s="28" t="str">
        <f aca="false">B632&amp;"|"&amp;C632</f>
        <v>C41303|19</v>
      </c>
      <c r="B632" s="28" t="s">
        <v>83</v>
      </c>
      <c r="C632" s="28" t="n">
        <v>19</v>
      </c>
      <c r="D632" s="28" t="s">
        <v>111</v>
      </c>
      <c r="E632" s="28" t="s">
        <v>115</v>
      </c>
      <c r="F632" s="28" t="s">
        <v>95</v>
      </c>
      <c r="G632" s="29"/>
      <c r="H632" s="29"/>
      <c r="I632" s="28"/>
      <c r="J632" s="28" t="str">
        <f aca="false">INDEX(Turmas!$K:$K,MATCH(B632,Turmas!$M:$M,0))&amp;" | "&amp;INDEX(Turmas!$L:$L,MATCH(B632,Turmas!$M:$M,0))</f>
        <v>CICLO IV  -  1º ANO | TARDE</v>
      </c>
    </row>
    <row r="633" customFormat="false" ht="15" hidden="false" customHeight="false" outlineLevel="0" collapsed="false">
      <c r="A633" s="28" t="str">
        <f aca="false">B633&amp;"|"&amp;C633</f>
        <v>C41303|20</v>
      </c>
      <c r="B633" s="28" t="s">
        <v>83</v>
      </c>
      <c r="C633" s="28" t="n">
        <v>20</v>
      </c>
      <c r="D633" s="28" t="s">
        <v>111</v>
      </c>
      <c r="E633" s="28" t="s">
        <v>116</v>
      </c>
      <c r="F633" s="28" t="s">
        <v>95</v>
      </c>
      <c r="G633" s="29"/>
      <c r="H633" s="29"/>
      <c r="I633" s="28"/>
      <c r="J633" s="28" t="str">
        <f aca="false">INDEX(Turmas!$K:$K,MATCH(B633,Turmas!$M:$M,0))&amp;" | "&amp;INDEX(Turmas!$L:$L,MATCH(B633,Turmas!$M:$M,0))</f>
        <v>CICLO IV  -  1º ANO | TARDE</v>
      </c>
    </row>
    <row r="634" customFormat="false" ht="15" hidden="false" customHeight="false" outlineLevel="0" collapsed="false">
      <c r="A634" s="28" t="str">
        <f aca="false">B634&amp;"|"&amp;C634</f>
        <v>C41303|21</v>
      </c>
      <c r="B634" s="28" t="s">
        <v>83</v>
      </c>
      <c r="C634" s="28" t="n">
        <v>21</v>
      </c>
      <c r="D634" s="28" t="s">
        <v>111</v>
      </c>
      <c r="E634" s="28" t="s">
        <v>117</v>
      </c>
      <c r="F634" s="28" t="s">
        <v>95</v>
      </c>
      <c r="G634" s="29"/>
      <c r="H634" s="29"/>
      <c r="I634" s="28"/>
      <c r="J634" s="28" t="str">
        <f aca="false">INDEX(Turmas!$K:$K,MATCH(B634,Turmas!$M:$M,0))&amp;" | "&amp;INDEX(Turmas!$L:$L,MATCH(B634,Turmas!$M:$M,0))</f>
        <v>CICLO IV  -  1º ANO | TARDE</v>
      </c>
    </row>
    <row r="635" customFormat="false" ht="15" hidden="false" customHeight="false" outlineLevel="0" collapsed="false">
      <c r="A635" s="28" t="str">
        <f aca="false">B635&amp;"|"&amp;C635</f>
        <v>C41303|22</v>
      </c>
      <c r="B635" s="28" t="s">
        <v>83</v>
      </c>
      <c r="C635" s="28" t="n">
        <v>22</v>
      </c>
      <c r="D635" s="28" t="s">
        <v>111</v>
      </c>
      <c r="E635" s="28" t="s">
        <v>118</v>
      </c>
      <c r="F635" s="28" t="s">
        <v>95</v>
      </c>
      <c r="G635" s="29"/>
      <c r="H635" s="29"/>
      <c r="I635" s="28"/>
      <c r="J635" s="28" t="str">
        <f aca="false">INDEX(Turmas!$K:$K,MATCH(B635,Turmas!$M:$M,0))&amp;" | "&amp;INDEX(Turmas!$L:$L,MATCH(B635,Turmas!$M:$M,0))</f>
        <v>CICLO IV  -  1º ANO | TARDE</v>
      </c>
    </row>
    <row r="636" customFormat="false" ht="15" hidden="false" customHeight="false" outlineLevel="0" collapsed="false">
      <c r="A636" s="28" t="str">
        <f aca="false">B636&amp;"|"&amp;C636</f>
        <v>C41303|23</v>
      </c>
      <c r="B636" s="28" t="s">
        <v>83</v>
      </c>
      <c r="C636" s="28" t="n">
        <v>23</v>
      </c>
      <c r="D636" s="28" t="s">
        <v>111</v>
      </c>
      <c r="E636" s="28" t="s">
        <v>119</v>
      </c>
      <c r="F636" s="28" t="s">
        <v>95</v>
      </c>
      <c r="G636" s="29"/>
      <c r="H636" s="29"/>
      <c r="I636" s="28"/>
      <c r="J636" s="28" t="str">
        <f aca="false">INDEX(Turmas!$K:$K,MATCH(B636,Turmas!$M:$M,0))&amp;" | "&amp;INDEX(Turmas!$L:$L,MATCH(B636,Turmas!$M:$M,0))</f>
        <v>CICLO IV  -  1º ANO | TARDE</v>
      </c>
    </row>
    <row r="637" customFormat="false" ht="15" hidden="false" customHeight="false" outlineLevel="0" collapsed="false">
      <c r="A637" s="28" t="str">
        <f aca="false">B637&amp;"|"&amp;C637</f>
        <v>C41303|24</v>
      </c>
      <c r="B637" s="28" t="s">
        <v>83</v>
      </c>
      <c r="C637" s="28" t="n">
        <v>24</v>
      </c>
      <c r="D637" s="28" t="s">
        <v>111</v>
      </c>
      <c r="E637" s="28" t="s">
        <v>120</v>
      </c>
      <c r="F637" s="28" t="s">
        <v>95</v>
      </c>
      <c r="G637" s="29"/>
      <c r="H637" s="29"/>
      <c r="I637" s="28"/>
      <c r="J637" s="28" t="str">
        <f aca="false">INDEX(Turmas!$K:$K,MATCH(B637,Turmas!$M:$M,0))&amp;" | "&amp;INDEX(Turmas!$L:$L,MATCH(B637,Turmas!$M:$M,0))</f>
        <v>CICLO IV  -  1º ANO | TARDE</v>
      </c>
    </row>
    <row r="638" customFormat="false" ht="15" hidden="false" customHeight="false" outlineLevel="0" collapsed="false">
      <c r="A638" s="28" t="str">
        <f aca="false">B638&amp;"|"&amp;C638</f>
        <v>C41303|25</v>
      </c>
      <c r="B638" s="28" t="s">
        <v>83</v>
      </c>
      <c r="C638" s="28" t="n">
        <v>25</v>
      </c>
      <c r="D638" s="28" t="s">
        <v>121</v>
      </c>
      <c r="E638" s="28" t="s">
        <v>122</v>
      </c>
      <c r="F638" s="28" t="s">
        <v>95</v>
      </c>
      <c r="G638" s="29"/>
      <c r="H638" s="29"/>
      <c r="I638" s="28"/>
      <c r="J638" s="28" t="str">
        <f aca="false">INDEX(Turmas!$K:$K,MATCH(B638,Turmas!$M:$M,0))&amp;" | "&amp;INDEX(Turmas!$L:$L,MATCH(B638,Turmas!$M:$M,0))</f>
        <v>CICLO IV  -  1º ANO | TARDE</v>
      </c>
    </row>
    <row r="639" customFormat="false" ht="15" hidden="false" customHeight="false" outlineLevel="0" collapsed="false">
      <c r="A639" s="28" t="str">
        <f aca="false">B639&amp;"|"&amp;C639</f>
        <v>C41303|26</v>
      </c>
      <c r="B639" s="28" t="s">
        <v>83</v>
      </c>
      <c r="C639" s="28" t="n">
        <v>26</v>
      </c>
      <c r="D639" s="28" t="s">
        <v>121</v>
      </c>
      <c r="E639" s="28" t="s">
        <v>123</v>
      </c>
      <c r="F639" s="28" t="s">
        <v>95</v>
      </c>
      <c r="G639" s="29"/>
      <c r="H639" s="29"/>
      <c r="I639" s="28"/>
      <c r="J639" s="28" t="str">
        <f aca="false">INDEX(Turmas!$K:$K,MATCH(B639,Turmas!$M:$M,0))&amp;" | "&amp;INDEX(Turmas!$L:$L,MATCH(B639,Turmas!$M:$M,0))</f>
        <v>CICLO IV  -  1º ANO | TARDE</v>
      </c>
    </row>
    <row r="640" customFormat="false" ht="15" hidden="false" customHeight="false" outlineLevel="0" collapsed="false">
      <c r="A640" s="28" t="str">
        <f aca="false">B640&amp;"|"&amp;C640</f>
        <v>C41303|27</v>
      </c>
      <c r="B640" s="28" t="s">
        <v>83</v>
      </c>
      <c r="C640" s="28" t="n">
        <v>27</v>
      </c>
      <c r="D640" s="28" t="s">
        <v>121</v>
      </c>
      <c r="E640" s="28" t="s">
        <v>124</v>
      </c>
      <c r="F640" s="28" t="s">
        <v>95</v>
      </c>
      <c r="G640" s="29"/>
      <c r="H640" s="29"/>
      <c r="I640" s="28"/>
      <c r="J640" s="28" t="str">
        <f aca="false">INDEX(Turmas!$K:$K,MATCH(B640,Turmas!$M:$M,0))&amp;" | "&amp;INDEX(Turmas!$L:$L,MATCH(B640,Turmas!$M:$M,0))</f>
        <v>CICLO IV  -  1º ANO | TARDE</v>
      </c>
    </row>
    <row r="641" customFormat="false" ht="15" hidden="false" customHeight="false" outlineLevel="0" collapsed="false">
      <c r="A641" s="28" t="str">
        <f aca="false">B641&amp;"|"&amp;C641</f>
        <v>C41303|28</v>
      </c>
      <c r="B641" s="28" t="s">
        <v>83</v>
      </c>
      <c r="C641" s="28" t="n">
        <v>28</v>
      </c>
      <c r="D641" s="28" t="s">
        <v>121</v>
      </c>
      <c r="E641" s="28" t="s">
        <v>125</v>
      </c>
      <c r="F641" s="28" t="s">
        <v>95</v>
      </c>
      <c r="G641" s="29"/>
      <c r="H641" s="29"/>
      <c r="I641" s="28"/>
      <c r="J641" s="28" t="str">
        <f aca="false">INDEX(Turmas!$K:$K,MATCH(B641,Turmas!$M:$M,0))&amp;" | "&amp;INDEX(Turmas!$L:$L,MATCH(B641,Turmas!$M:$M,0))</f>
        <v>CICLO IV  -  1º ANO | TARDE</v>
      </c>
    </row>
    <row r="642" customFormat="false" ht="15" hidden="false" customHeight="false" outlineLevel="0" collapsed="false">
      <c r="A642" s="28" t="str">
        <f aca="false">B642&amp;"|"&amp;C642</f>
        <v>C41303|29</v>
      </c>
      <c r="B642" s="28" t="s">
        <v>83</v>
      </c>
      <c r="C642" s="28" t="n">
        <v>29</v>
      </c>
      <c r="D642" s="28" t="s">
        <v>121</v>
      </c>
      <c r="E642" s="28" t="s">
        <v>126</v>
      </c>
      <c r="F642" s="28" t="s">
        <v>95</v>
      </c>
      <c r="G642" s="29"/>
      <c r="H642" s="29"/>
      <c r="I642" s="28"/>
      <c r="J642" s="28" t="str">
        <f aca="false">INDEX(Turmas!$K:$K,MATCH(B642,Turmas!$M:$M,0))&amp;" | "&amp;INDEX(Turmas!$L:$L,MATCH(B642,Turmas!$M:$M,0))</f>
        <v>CICLO IV  -  1º ANO | TARDE</v>
      </c>
    </row>
    <row r="643" customFormat="false" ht="15" hidden="false" customHeight="false" outlineLevel="0" collapsed="false">
      <c r="A643" s="28" t="str">
        <f aca="false">B643&amp;"|"&amp;C643</f>
        <v>C41303|30</v>
      </c>
      <c r="B643" s="28" t="s">
        <v>83</v>
      </c>
      <c r="C643" s="28" t="n">
        <v>30</v>
      </c>
      <c r="D643" s="28" t="s">
        <v>127</v>
      </c>
      <c r="E643" s="28" t="s">
        <v>128</v>
      </c>
      <c r="F643" s="28" t="s">
        <v>95</v>
      </c>
      <c r="G643" s="29"/>
      <c r="H643" s="29"/>
      <c r="I643" s="28"/>
      <c r="J643" s="28" t="str">
        <f aca="false">INDEX(Turmas!$K:$K,MATCH(B643,Turmas!$M:$M,0))&amp;" | "&amp;INDEX(Turmas!$L:$L,MATCH(B643,Turmas!$M:$M,0))</f>
        <v>CICLO IV  -  1º ANO | TARDE</v>
      </c>
    </row>
    <row r="644" customFormat="false" ht="15" hidden="false" customHeight="false" outlineLevel="0" collapsed="false">
      <c r="A644" s="28" t="str">
        <f aca="false">B644&amp;"|"&amp;C644</f>
        <v>C41303|31</v>
      </c>
      <c r="B644" s="28" t="s">
        <v>83</v>
      </c>
      <c r="C644" s="28" t="n">
        <v>31</v>
      </c>
      <c r="D644" s="28" t="s">
        <v>127</v>
      </c>
      <c r="E644" s="28" t="s">
        <v>108</v>
      </c>
      <c r="F644" s="28" t="s">
        <v>95</v>
      </c>
      <c r="G644" s="29"/>
      <c r="H644" s="29"/>
      <c r="I644" s="28"/>
      <c r="J644" s="28" t="str">
        <f aca="false">INDEX(Turmas!$K:$K,MATCH(B644,Turmas!$M:$M,0))&amp;" | "&amp;INDEX(Turmas!$L:$L,MATCH(B644,Turmas!$M:$M,0))</f>
        <v>CICLO IV  -  1º ANO | TARDE</v>
      </c>
    </row>
    <row r="645" customFormat="false" ht="15" hidden="false" customHeight="false" outlineLevel="0" collapsed="false">
      <c r="A645" s="28" t="str">
        <f aca="false">B645&amp;"|"&amp;C645</f>
        <v>C41303|32</v>
      </c>
      <c r="B645" s="28" t="s">
        <v>83</v>
      </c>
      <c r="C645" s="28" t="n">
        <v>32</v>
      </c>
      <c r="D645" s="28" t="s">
        <v>127</v>
      </c>
      <c r="E645" s="28" t="s">
        <v>129</v>
      </c>
      <c r="F645" s="28" t="s">
        <v>95</v>
      </c>
      <c r="G645" s="29"/>
      <c r="H645" s="29"/>
      <c r="I645" s="28"/>
      <c r="J645" s="28" t="str">
        <f aca="false">INDEX(Turmas!$K:$K,MATCH(B645,Turmas!$M:$M,0))&amp;" | "&amp;INDEX(Turmas!$L:$L,MATCH(B645,Turmas!$M:$M,0))</f>
        <v>CICLO IV  -  1º ANO | TARDE</v>
      </c>
    </row>
    <row r="646" customFormat="false" ht="15" hidden="false" customHeight="false" outlineLevel="0" collapsed="false">
      <c r="A646" s="28" t="str">
        <f aca="false">B646&amp;"|"&amp;C646</f>
        <v>C41303|33</v>
      </c>
      <c r="B646" s="28" t="s">
        <v>83</v>
      </c>
      <c r="C646" s="28" t="n">
        <v>33</v>
      </c>
      <c r="D646" s="28" t="s">
        <v>127</v>
      </c>
      <c r="E646" s="28" t="s">
        <v>130</v>
      </c>
      <c r="F646" s="28" t="s">
        <v>95</v>
      </c>
      <c r="G646" s="29"/>
      <c r="H646" s="29"/>
      <c r="I646" s="28"/>
      <c r="J646" s="28" t="str">
        <f aca="false">INDEX(Turmas!$K:$K,MATCH(B646,Turmas!$M:$M,0))&amp;" | "&amp;INDEX(Turmas!$L:$L,MATCH(B646,Turmas!$M:$M,0))</f>
        <v>CICLO IV  -  1º ANO | TARDE</v>
      </c>
    </row>
    <row r="647" customFormat="false" ht="15" hidden="false" customHeight="false" outlineLevel="0" collapsed="false">
      <c r="A647" s="28" t="str">
        <f aca="false">B647&amp;"|"&amp;C647</f>
        <v>C41303|34</v>
      </c>
      <c r="B647" s="28" t="s">
        <v>83</v>
      </c>
      <c r="C647" s="28" t="n">
        <v>34</v>
      </c>
      <c r="D647" s="28" t="s">
        <v>127</v>
      </c>
      <c r="E647" s="28" t="s">
        <v>131</v>
      </c>
      <c r="F647" s="28" t="s">
        <v>95</v>
      </c>
      <c r="G647" s="29"/>
      <c r="H647" s="29"/>
      <c r="I647" s="28"/>
      <c r="J647" s="28" t="str">
        <f aca="false">INDEX(Turmas!$K:$K,MATCH(B647,Turmas!$M:$M,0))&amp;" | "&amp;INDEX(Turmas!$L:$L,MATCH(B647,Turmas!$M:$M,0))</f>
        <v>CICLO IV  -  1º ANO | TARDE</v>
      </c>
    </row>
  </sheetData>
  <conditionalFormatting sqref="F2:F647">
    <cfRule type="expression" priority="2" aboveAverage="0" equalAverage="0" bottom="0" percent="0" rank="0" text="" dxfId="6">
      <formula>F2="Não avaliado"</formula>
    </cfRule>
    <cfRule type="expression" priority="3" aboveAverage="0" equalAverage="0" bottom="0" percent="0" rank="0" text="" dxfId="7">
      <formula>F2="Não conforme"</formula>
    </cfRule>
    <cfRule type="expression" priority="4" aboveAverage="0" equalAverage="0" bottom="0" percent="0" rank="0" text="" dxfId="8">
      <formula>F2="Conforme"</formula>
    </cfRule>
  </conditionalFormatting>
  <dataValidations count="2">
    <dataValidation allowBlank="true" errorStyle="stop" operator="between" showDropDown="false" showErrorMessage="false" showInputMessage="false" sqref="F2:F647" type="list">
      <formula1>"Conforme,Não conforme,Não se aplica,Não avaliado"</formula1>
      <formula2>0</formula2>
    </dataValidation>
    <dataValidation allowBlank="true" errorStyle="stop" operator="greaterThan" showDropDown="false" showErrorMessage="false" showInputMessage="false" sqref="G2:H647" type="date">
      <formula1>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60.71"/>
    <col collapsed="false" customWidth="true" hidden="false" outlineLevel="0" max="2" min="2" style="30" width="15.71"/>
    <col collapsed="false" customWidth="true" hidden="false" outlineLevel="0" max="3" min="3" style="30" width="20.71"/>
    <col collapsed="false" customWidth="true" hidden="false" outlineLevel="0" max="4" min="4" style="30" width="10.71"/>
    <col collapsed="false" customWidth="true" hidden="false" outlineLevel="0" max="5" min="5" style="30" width="40.71"/>
    <col collapsed="false" customWidth="true" hidden="false" outlineLevel="0" max="6" min="6" style="30" width="30.71"/>
    <col collapsed="false" customWidth="true" hidden="true" outlineLevel="0" max="7" min="7" style="0" width="13"/>
  </cols>
  <sheetData>
    <row r="1" customFormat="false" ht="15" hidden="false" customHeight="false" outlineLevel="0" collapsed="false">
      <c r="A1" s="31" t="s">
        <v>132</v>
      </c>
      <c r="B1" s="31"/>
      <c r="C1" s="31"/>
      <c r="D1" s="31"/>
      <c r="E1" s="31"/>
      <c r="F1" s="31"/>
      <c r="G1" s="0" t="str">
        <f aca="false">IFERROR(INDEX(Turmas!$M:$M,SUMPRODUCT(ISNUMBER(SEARCH(Turmas!$M$2:$M$20,$A$1))*ROW(Turmas!$M$2:$M$20))),"")</f>
        <v>C21101</v>
      </c>
    </row>
    <row r="2" customFormat="false" ht="21" hidden="false" customHeight="true" outlineLevel="0" collapsed="false">
      <c r="A2" s="32" t="str">
        <f aca="false">IF((COUNTIF(B4:B72, "Não conforme") + COUNTIF(B4:B72, "Não avaliado")) &gt; 0, (COUNTIF(B4:B72, "Não conforme") + COUNTIF(B4:B72, "Não avaliado")) &amp; " itens pendentes", "Checklist Conforme")</f>
        <v>34 itens pendentes</v>
      </c>
      <c r="B2" s="32"/>
      <c r="C2" s="32"/>
      <c r="D2" s="32"/>
      <c r="E2" s="32"/>
      <c r="F2" s="32"/>
      <c r="G2" s="33" t="s">
        <v>133</v>
      </c>
    </row>
    <row r="3" customFormat="false" ht="15" hidden="false" customHeight="false" outlineLevel="0" collapsed="false">
      <c r="A3" s="27" t="s">
        <v>134</v>
      </c>
      <c r="B3" s="27" t="s">
        <v>88</v>
      </c>
      <c r="C3" s="27" t="s">
        <v>135</v>
      </c>
      <c r="D3" s="27" t="s">
        <v>90</v>
      </c>
      <c r="E3" s="27" t="s">
        <v>136</v>
      </c>
      <c r="F3" s="27" t="s">
        <v>91</v>
      </c>
    </row>
    <row r="4" customFormat="false" ht="15" hidden="false" customHeight="false" outlineLevel="0" collapsed="false">
      <c r="A4" s="7" t="s">
        <v>94</v>
      </c>
      <c r="B4" s="7" t="str">
        <f aca="false">IFERROR(IF(INDEX(BaseDados!$F:$F,MATCH($G$1&amp;"|"&amp;$G4,BaseDados!$A:$A,0))="","",INDEX(BaseDados!$F:$F,MATCH($G$1&amp;"|"&amp;$G4,BaseDados!$A:$A,0))),"")</f>
        <v>Não avaliado</v>
      </c>
      <c r="C4" s="34" t="str">
        <f aca="false">IFERROR(IF(INDEX(BaseDados!$G:$G,MATCH($G$1&amp;"|"&amp;$G4,BaseDados!$A:$A,0))="","",INDEX(BaseDados!$G:$G,MATCH($G$1&amp;"|"&amp;$G4,BaseDados!$A:$A,0))),"")</f>
        <v/>
      </c>
      <c r="D4" s="34" t="str">
        <f aca="false">IFERROR(IF(INDEX(BaseDados!$H:$H,MATCH($G$1&amp;"|"&amp;$G4,BaseDados!$A:$A,0))="","",INDEX(BaseDados!$H:$H,MATCH($G$1&amp;"|"&amp;$G4,BaseDados!$A:$A,0))),"")</f>
        <v/>
      </c>
      <c r="E4" s="8" t="s">
        <v>137</v>
      </c>
      <c r="F4" s="7" t="str">
        <f aca="false">IFERROR(IF(INDEX(BaseDados!$I:$I,MATCH($G$1&amp;"|"&amp;$G4,BaseDados!$A:$A,0))="","",INDEX(BaseDados!$I:$I,MATCH($G$1&amp;"|"&amp;$G4,BaseDados!$A:$A,0))),"")</f>
        <v/>
      </c>
      <c r="G4" s="0" t="n">
        <v>1</v>
      </c>
    </row>
    <row r="5" customFormat="false" ht="15" hidden="false" customHeight="false" outlineLevel="0" collapsed="false">
      <c r="A5" s="9" t="s">
        <v>96</v>
      </c>
      <c r="B5" s="9" t="str">
        <f aca="false">IFERROR(IF(INDEX(BaseDados!$F:$F,MATCH($G$1&amp;"|"&amp;$G5,BaseDados!$A:$A,0))="","",INDEX(BaseDados!$F:$F,MATCH($G$1&amp;"|"&amp;$G5,BaseDados!$A:$A,0))),"")</f>
        <v>Não avaliado</v>
      </c>
      <c r="C5" s="35" t="str">
        <f aca="false">IFERROR(IF(INDEX(BaseDados!$G:$G,MATCH($G$1&amp;"|"&amp;$G5,BaseDados!$A:$A,0))="","",INDEX(BaseDados!$G:$G,MATCH($G$1&amp;"|"&amp;$G5,BaseDados!$A:$A,0))),"")</f>
        <v/>
      </c>
      <c r="D5" s="35" t="str">
        <f aca="false">IFERROR(IF(INDEX(BaseDados!$H:$H,MATCH($G$1&amp;"|"&amp;$G5,BaseDados!$A:$A,0))="","",INDEX(BaseDados!$H:$H,MATCH($G$1&amp;"|"&amp;$G5,BaseDados!$A:$A,0))),"")</f>
        <v/>
      </c>
      <c r="E5" s="10" t="str">
        <f aca="false" t="array" ref="E5:E5">GestorSecretario</f>
        <v>RONALDO XAVIER DE CARVALHO</v>
      </c>
      <c r="F5" s="10" t="str">
        <f aca="false">IFERROR(IF(INDEX(BaseDados!$I:$I,MATCH($G$1&amp;"|"&amp;$G5,BaseDados!$A:$A,0))="","",INDEX(BaseDados!$I:$I,MATCH($G$1&amp;"|"&amp;$G5,BaseDados!$A:$A,0))),"")</f>
        <v/>
      </c>
      <c r="G5" s="0" t="n">
        <v>2</v>
      </c>
    </row>
    <row r="6" customFormat="false" ht="15" hidden="false" customHeight="false" outlineLevel="0" collapsed="false">
      <c r="A6" s="36" t="s">
        <v>97</v>
      </c>
      <c r="B6" s="7" t="str">
        <f aca="false">IFERROR(IF(INDEX(BaseDados!$F:$F,MATCH($G$1&amp;"|"&amp;$G6,BaseDados!$A:$A,0))="","",INDEX(BaseDados!$F:$F,MATCH($G$1&amp;"|"&amp;$G6,BaseDados!$A:$A,0))),"")</f>
        <v>Não avaliado</v>
      </c>
      <c r="C6" s="34" t="str">
        <f aca="false">IFERROR(IF(INDEX(BaseDados!$G:$G,MATCH($G$1&amp;"|"&amp;$G6,BaseDados!$A:$A,0))="","",INDEX(BaseDados!$G:$G,MATCH($G$1&amp;"|"&amp;$G6,BaseDados!$A:$A,0))),"")</f>
        <v/>
      </c>
      <c r="D6" s="34" t="str">
        <f aca="false">IFERROR(IF(INDEX(BaseDados!$H:$H,MATCH($G$1&amp;"|"&amp;$G6,BaseDados!$A:$A,0))="","",INDEX(BaseDados!$H:$H,MATCH($G$1&amp;"|"&amp;$G6,BaseDados!$A:$A,0))),"")</f>
        <v/>
      </c>
      <c r="E6" s="8" t="str">
        <f aca="false" t="array" ref="E6:E6">GestorSecretario</f>
        <v>RONALDO XAVIER DE CARVALHO</v>
      </c>
      <c r="F6" s="8" t="str">
        <f aca="false">IFERROR(IF(INDEX(BaseDados!$I:$I,MATCH($G$1&amp;"|"&amp;$G6,BaseDados!$A:$A,0))="","",INDEX(BaseDados!$I:$I,MATCH($G$1&amp;"|"&amp;$G6,BaseDados!$A:$A,0))),"")</f>
        <v/>
      </c>
      <c r="G6" s="0" t="n">
        <v>3</v>
      </c>
    </row>
    <row r="7" customFormat="false" ht="15" hidden="false" customHeight="false" outlineLevel="0" collapsed="false">
      <c r="A7" s="9" t="s">
        <v>98</v>
      </c>
      <c r="B7" s="9" t="str">
        <f aca="false">IFERROR(IF(INDEX(BaseDados!$F:$F,MATCH($G$1&amp;"|"&amp;$G7,BaseDados!$A:$A,0))="","",INDEX(BaseDados!$F:$F,MATCH($G$1&amp;"|"&amp;$G7,BaseDados!$A:$A,0))),"")</f>
        <v>Não avaliado</v>
      </c>
      <c r="C7" s="37" t="str">
        <f aca="false">IFERROR(IF(INDEX(BaseDados!$G:$G,MATCH($G$1&amp;"|"&amp;$G7,BaseDados!$A:$A,0))="","",INDEX(BaseDados!$G:$G,MATCH($G$1&amp;"|"&amp;$G7,BaseDados!$A:$A,0))),"")</f>
        <v/>
      </c>
      <c r="D7" s="37" t="str">
        <f aca="false">IFERROR(IF(INDEX(BaseDados!$H:$H,MATCH($G$1&amp;"|"&amp;$G7,BaseDados!$A:$A,0))="","",INDEX(BaseDados!$H:$H,MATCH($G$1&amp;"|"&amp;$G7,BaseDados!$A:$A,0))),"")</f>
        <v/>
      </c>
      <c r="E7" s="10" t="str">
        <f aca="false" t="array" ref="E7:E7">GestorSecretario</f>
        <v>RONALDO XAVIER DE CARVALHO</v>
      </c>
      <c r="F7" s="10" t="str">
        <f aca="false">IFERROR(IF(INDEX(BaseDados!$I:$I,MATCH($G$1&amp;"|"&amp;$G7,BaseDados!$A:$A,0))="","",INDEX(BaseDados!$I:$I,MATCH($G$1&amp;"|"&amp;$G7,BaseDados!$A:$A,0))),"")</f>
        <v/>
      </c>
      <c r="G7" s="0" t="n">
        <v>4</v>
      </c>
    </row>
    <row r="8" customFormat="false" ht="15" hidden="false" customHeight="false" outlineLevel="0" collapsed="false">
      <c r="A8" s="7" t="s">
        <v>99</v>
      </c>
      <c r="B8" s="7" t="str">
        <f aca="false">IFERROR(IF(INDEX(BaseDados!$F:$F,MATCH($G$1&amp;"|"&amp;$G8,BaseDados!$A:$A,0))="","",INDEX(BaseDados!$F:$F,MATCH($G$1&amp;"|"&amp;$G8,BaseDados!$A:$A,0))),"")</f>
        <v>Não avaliado</v>
      </c>
      <c r="C8" s="34" t="str">
        <f aca="false">IFERROR(IF(INDEX(BaseDados!$G:$G,MATCH($G$1&amp;"|"&amp;$G8,BaseDados!$A:$A,0))="","",INDEX(BaseDados!$G:$G,MATCH($G$1&amp;"|"&amp;$G8,BaseDados!$A:$A,0))),"")</f>
        <v/>
      </c>
      <c r="D8" s="34" t="str">
        <f aca="false">IFERROR(IF(INDEX(BaseDados!$H:$H,MATCH($G$1&amp;"|"&amp;$G8,BaseDados!$A:$A,0))="","",INDEX(BaseDados!$H:$H,MATCH($G$1&amp;"|"&amp;$G8,BaseDados!$A:$A,0))),"")</f>
        <v/>
      </c>
      <c r="E8" s="8" t="str">
        <f aca="false" t="array" ref="E8:E8">GestorSecretario</f>
        <v>RONALDO XAVIER DE CARVALHO</v>
      </c>
      <c r="F8" s="8" t="str">
        <f aca="false">IFERROR(IF(INDEX(BaseDados!$I:$I,MATCH($G$1&amp;"|"&amp;$G8,BaseDados!$A:$A,0))="","",INDEX(BaseDados!$I:$I,MATCH($G$1&amp;"|"&amp;$G8,BaseDados!$A:$A,0))),"")</f>
        <v/>
      </c>
      <c r="G8" s="0" t="n">
        <v>5</v>
      </c>
    </row>
    <row r="9" customFormat="false" ht="15" hidden="false" customHeight="false" outlineLevel="0" collapsed="false">
      <c r="A9" s="9" t="s">
        <v>100</v>
      </c>
      <c r="B9" s="9" t="str">
        <f aca="false">IFERROR(IF(INDEX(BaseDados!$F:$F,MATCH($G$1&amp;"|"&amp;$G9,BaseDados!$A:$A,0))="","",INDEX(BaseDados!$F:$F,MATCH($G$1&amp;"|"&amp;$G9,BaseDados!$A:$A,0))),"")</f>
        <v>Não avaliado</v>
      </c>
      <c r="C9" s="37" t="str">
        <f aca="false">IFERROR(IF(INDEX(BaseDados!$G:$G,MATCH($G$1&amp;"|"&amp;$G9,BaseDados!$A:$A,0))="","",INDEX(BaseDados!$G:$G,MATCH($G$1&amp;"|"&amp;$G9,BaseDados!$A:$A,0))),"")</f>
        <v/>
      </c>
      <c r="D9" s="37" t="str">
        <f aca="false">IFERROR(IF(INDEX(BaseDados!$H:$H,MATCH($G$1&amp;"|"&amp;$G9,BaseDados!$A:$A,0))="","",INDEX(BaseDados!$H:$H,MATCH($G$1&amp;"|"&amp;$G9,BaseDados!$A:$A,0))),"")</f>
        <v/>
      </c>
      <c r="E9" s="10" t="str">
        <f aca="false" t="array" ref="E9:E9">GestorSecretario</f>
        <v>RONALDO XAVIER DE CARVALHO</v>
      </c>
      <c r="F9" s="10" t="str">
        <f aca="false">IFERROR(IF(INDEX(BaseDados!$I:$I,MATCH($G$1&amp;"|"&amp;$G9,BaseDados!$A:$A,0))="","",INDEX(BaseDados!$I:$I,MATCH($G$1&amp;"|"&amp;$G9,BaseDados!$A:$A,0))),"")</f>
        <v/>
      </c>
      <c r="G9" s="0" t="n">
        <v>6</v>
      </c>
    </row>
    <row r="10" customFormat="false" ht="15" hidden="false" customHeight="false" outlineLevel="0" collapsed="false">
      <c r="A10" s="7" t="s">
        <v>101</v>
      </c>
      <c r="B10" s="7" t="str">
        <f aca="false">IFERROR(IF(INDEX(BaseDados!$F:$F,MATCH($G$1&amp;"|"&amp;$G10,BaseDados!$A:$A,0))="","",INDEX(BaseDados!$F:$F,MATCH($G$1&amp;"|"&amp;$G10,BaseDados!$A:$A,0))),"")</f>
        <v>Não avaliado</v>
      </c>
      <c r="C10" s="34" t="str">
        <f aca="false">IFERROR(IF(INDEX(BaseDados!$G:$G,MATCH($G$1&amp;"|"&amp;$G10,BaseDados!$A:$A,0))="","",INDEX(BaseDados!$G:$G,MATCH($G$1&amp;"|"&amp;$G10,BaseDados!$A:$A,0))),"")</f>
        <v/>
      </c>
      <c r="D10" s="34" t="str">
        <f aca="false">IFERROR(IF(INDEX(BaseDados!$H:$H,MATCH($G$1&amp;"|"&amp;$G10,BaseDados!$A:$A,0))="","",INDEX(BaseDados!$H:$H,MATCH($G$1&amp;"|"&amp;$G10,BaseDados!$A:$A,0))),"")</f>
        <v/>
      </c>
      <c r="E10" s="8" t="str">
        <f aca="false" t="array" ref="E10:E10">GestorSecretario</f>
        <v>RONALDO XAVIER DE CARVALHO</v>
      </c>
      <c r="F10" s="8" t="str">
        <f aca="false">IFERROR(IF(INDEX(BaseDados!$I:$I,MATCH($G$1&amp;"|"&amp;$G10,BaseDados!$A:$A,0))="","",INDEX(BaseDados!$I:$I,MATCH($G$1&amp;"|"&amp;$G10,BaseDados!$A:$A,0))),"")</f>
        <v/>
      </c>
      <c r="G10" s="0" t="n">
        <v>7</v>
      </c>
    </row>
    <row r="11" customFormat="false" ht="15" hidden="false" customHeight="false" outlineLevel="0" collapsed="false">
      <c r="A11" s="27" t="s">
        <v>138</v>
      </c>
      <c r="B11" s="27" t="s">
        <v>88</v>
      </c>
      <c r="C11" s="27" t="s">
        <v>135</v>
      </c>
      <c r="D11" s="27" t="s">
        <v>90</v>
      </c>
      <c r="E11" s="27" t="s">
        <v>139</v>
      </c>
      <c r="F11" s="27" t="s">
        <v>91</v>
      </c>
    </row>
    <row r="12" customFormat="false" ht="15" hidden="false" customHeight="false" outlineLevel="0" collapsed="false">
      <c r="A12" s="7" t="s">
        <v>103</v>
      </c>
      <c r="B12" s="7" t="str">
        <f aca="false">IFERROR(IF(INDEX(BaseDados!$F:$F,MATCH($G$1&amp;"|"&amp;$G12,BaseDados!$A:$A,0))="","",INDEX(BaseDados!$F:$F,MATCH($G$1&amp;"|"&amp;$G12,BaseDados!$A:$A,0))),"")</f>
        <v>Não avaliado</v>
      </c>
      <c r="C12" s="38" t="str">
        <f aca="false">IFERROR(IF(INDEX(BaseDados!$G:$G,MATCH($G$1&amp;"|"&amp;$G12,BaseDados!$A:$A,0))="","",INDEX(BaseDados!$G:$G,MATCH($G$1&amp;"|"&amp;$G12,BaseDados!$A:$A,0))),"")</f>
        <v/>
      </c>
      <c r="D12" s="38" t="str">
        <f aca="false">IFERROR(IF(INDEX(BaseDados!$H:$H,MATCH($G$1&amp;"|"&amp;$G12,BaseDados!$A:$A,0))="","",INDEX(BaseDados!$H:$H,MATCH($G$1&amp;"|"&amp;$G12,BaseDados!$A:$A,0))),"")</f>
        <v/>
      </c>
      <c r="E12" s="8" t="str">
        <f aca="false" t="array" ref="E12:E12">GestorSecretario</f>
        <v>RONALDO XAVIER DE CARVALHO</v>
      </c>
      <c r="F12" s="8" t="str">
        <f aca="false">IFERROR(IF(INDEX(BaseDados!$I:$I,MATCH($G$1&amp;"|"&amp;$G12,BaseDados!$A:$A,0))="","",INDEX(BaseDados!$I:$I,MATCH($G$1&amp;"|"&amp;$G12,BaseDados!$A:$A,0))),"")</f>
        <v/>
      </c>
      <c r="G12" s="0" t="n">
        <v>8</v>
      </c>
    </row>
    <row r="13" customFormat="false" ht="15" hidden="false" customHeight="false" outlineLevel="0" collapsed="false">
      <c r="A13" s="9" t="s">
        <v>104</v>
      </c>
      <c r="B13" s="9" t="str">
        <f aca="false">IFERROR(IF(INDEX(BaseDados!$F:$F,MATCH($G$1&amp;"|"&amp;$G13,BaseDados!$A:$A,0))="","",INDEX(BaseDados!$F:$F,MATCH($G$1&amp;"|"&amp;$G13,BaseDados!$A:$A,0))),"")</f>
        <v>Não avaliado</v>
      </c>
      <c r="C13" s="35" t="str">
        <f aca="false">IFERROR(IF(INDEX(BaseDados!$G:$G,MATCH($G$1&amp;"|"&amp;$G13,BaseDados!$A:$A,0))="","",INDEX(BaseDados!$G:$G,MATCH($G$1&amp;"|"&amp;$G13,BaseDados!$A:$A,0))),"")</f>
        <v/>
      </c>
      <c r="D13" s="35" t="str">
        <f aca="false">IFERROR(IF(INDEX(BaseDados!$H:$H,MATCH($G$1&amp;"|"&amp;$G13,BaseDados!$A:$A,0))="","",INDEX(BaseDados!$H:$H,MATCH($G$1&amp;"|"&amp;$G13,BaseDados!$A:$A,0))),"")</f>
        <v/>
      </c>
      <c r="E13" s="10" t="str">
        <f aca="false" t="array" ref="E13:E13">GestorSecretario</f>
        <v>RONALDO XAVIER DE CARVALHO</v>
      </c>
      <c r="F13" s="10" t="str">
        <f aca="false">IFERROR(IF(INDEX(BaseDados!$I:$I,MATCH($G$1&amp;"|"&amp;$G13,BaseDados!$A:$A,0))="","",INDEX(BaseDados!$I:$I,MATCH($G$1&amp;"|"&amp;$G13,BaseDados!$A:$A,0))),"")</f>
        <v/>
      </c>
      <c r="G13" s="0" t="n">
        <v>9</v>
      </c>
    </row>
    <row r="14" customFormat="false" ht="15" hidden="false" customHeight="false" outlineLevel="0" collapsed="false">
      <c r="A14" s="7" t="s">
        <v>105</v>
      </c>
      <c r="B14" s="7" t="str">
        <f aca="false">IFERROR(IF(INDEX(BaseDados!$F:$F,MATCH($G$1&amp;"|"&amp;$G14,BaseDados!$A:$A,0))="","",INDEX(BaseDados!$F:$F,MATCH($G$1&amp;"|"&amp;$G14,BaseDados!$A:$A,0))),"")</f>
        <v>Não avaliado</v>
      </c>
      <c r="C14" s="38" t="str">
        <f aca="false">IFERROR(IF(INDEX(BaseDados!$G:$G,MATCH($G$1&amp;"|"&amp;$G14,BaseDados!$A:$A,0))="","",INDEX(BaseDados!$G:$G,MATCH($G$1&amp;"|"&amp;$G14,BaseDados!$A:$A,0))),"")</f>
        <v/>
      </c>
      <c r="D14" s="38" t="str">
        <f aca="false">IFERROR(IF(INDEX(BaseDados!$H:$H,MATCH($G$1&amp;"|"&amp;$G14,BaseDados!$A:$A,0))="","",INDEX(BaseDados!$H:$H,MATCH($G$1&amp;"|"&amp;$G14,BaseDados!$A:$A,0))),"")</f>
        <v/>
      </c>
      <c r="E14" s="8" t="str">
        <f aca="false" t="array" ref="E14:E14">GestorSecretario</f>
        <v>RONALDO XAVIER DE CARVALHO</v>
      </c>
      <c r="F14" s="8" t="str">
        <f aca="false">IFERROR(IF(INDEX(BaseDados!$I:$I,MATCH($G$1&amp;"|"&amp;$G14,BaseDados!$A:$A,0))="","",INDEX(BaseDados!$I:$I,MATCH($G$1&amp;"|"&amp;$G14,BaseDados!$A:$A,0))),"")</f>
        <v/>
      </c>
      <c r="G14" s="0" t="n">
        <v>10</v>
      </c>
    </row>
    <row r="15" customFormat="false" ht="15" hidden="false" customHeight="false" outlineLevel="0" collapsed="false">
      <c r="A15" s="9" t="s">
        <v>106</v>
      </c>
      <c r="B15" s="9" t="str">
        <f aca="false">IFERROR(IF(INDEX(BaseDados!$F:$F,MATCH($G$1&amp;"|"&amp;$G15,BaseDados!$A:$A,0))="","",INDEX(BaseDados!$F:$F,MATCH($G$1&amp;"|"&amp;$G15,BaseDados!$A:$A,0))),"")</f>
        <v>Não avaliado</v>
      </c>
      <c r="C15" s="35" t="str">
        <f aca="false">IFERROR(IF(INDEX(BaseDados!$G:$G,MATCH($G$1&amp;"|"&amp;$G15,BaseDados!$A:$A,0))="","",INDEX(BaseDados!$G:$G,MATCH($G$1&amp;"|"&amp;$G15,BaseDados!$A:$A,0))),"")</f>
        <v/>
      </c>
      <c r="D15" s="35" t="str">
        <f aca="false">IFERROR(IF(INDEX(BaseDados!$H:$H,MATCH($G$1&amp;"|"&amp;$G15,BaseDados!$A:$A,0))="","",INDEX(BaseDados!$H:$H,MATCH($G$1&amp;"|"&amp;$G15,BaseDados!$A:$A,0))),"")</f>
        <v/>
      </c>
      <c r="E15" s="10" t="str">
        <f aca="false" t="array" ref="E15:E15">GestorSecretario</f>
        <v>RONALDO XAVIER DE CARVALHO</v>
      </c>
      <c r="F15" s="10" t="str">
        <f aca="false">IFERROR(IF(INDEX(BaseDados!$I:$I,MATCH($G$1&amp;"|"&amp;$G15,BaseDados!$A:$A,0))="","",INDEX(BaseDados!$I:$I,MATCH($G$1&amp;"|"&amp;$G15,BaseDados!$A:$A,0))),"")</f>
        <v/>
      </c>
      <c r="G15" s="0" t="n">
        <v>11</v>
      </c>
    </row>
    <row r="16" customFormat="false" ht="15" hidden="false" customHeight="false" outlineLevel="0" collapsed="false">
      <c r="A16" s="7" t="s">
        <v>107</v>
      </c>
      <c r="B16" s="7" t="str">
        <f aca="false">IFERROR(IF(INDEX(BaseDados!$F:$F,MATCH($G$1&amp;"|"&amp;$G16,BaseDados!$A:$A,0))="","",INDEX(BaseDados!$F:$F,MATCH($G$1&amp;"|"&amp;$G16,BaseDados!$A:$A,0))),"")</f>
        <v>Não avaliado</v>
      </c>
      <c r="C16" s="38" t="str">
        <f aca="false">IFERROR(IF(INDEX(BaseDados!$G:$G,MATCH($G$1&amp;"|"&amp;$G16,BaseDados!$A:$A,0))="","",INDEX(BaseDados!$G:$G,MATCH($G$1&amp;"|"&amp;$G16,BaseDados!$A:$A,0))),"")</f>
        <v/>
      </c>
      <c r="D16" s="38" t="str">
        <f aca="false">IFERROR(IF(INDEX(BaseDados!$H:$H,MATCH($G$1&amp;"|"&amp;$G16,BaseDados!$A:$A,0))="","",INDEX(BaseDados!$H:$H,MATCH($G$1&amp;"|"&amp;$G16,BaseDados!$A:$A,0))),"")</f>
        <v/>
      </c>
      <c r="E16" s="8" t="str">
        <f aca="false" t="array" ref="E16:E16">GestorSecretario</f>
        <v>RONALDO XAVIER DE CARVALHO</v>
      </c>
      <c r="F16" s="8" t="str">
        <f aca="false">IFERROR(IF(INDEX(BaseDados!$I:$I,MATCH($G$1&amp;"|"&amp;$G16,BaseDados!$A:$A,0))="","",INDEX(BaseDados!$I:$I,MATCH($G$1&amp;"|"&amp;$G16,BaseDados!$A:$A,0))),"")</f>
        <v/>
      </c>
      <c r="G16" s="0" t="n">
        <v>12</v>
      </c>
    </row>
    <row r="17" customFormat="false" ht="15" hidden="false" customHeight="false" outlineLevel="0" collapsed="false">
      <c r="A17" s="9" t="s">
        <v>108</v>
      </c>
      <c r="B17" s="9" t="str">
        <f aca="false">IFERROR(IF(INDEX(BaseDados!$F:$F,MATCH($G$1&amp;"|"&amp;$G17,BaseDados!$A:$A,0))="","",INDEX(BaseDados!$F:$F,MATCH($G$1&amp;"|"&amp;$G17,BaseDados!$A:$A,0))),"")</f>
        <v>Não avaliado</v>
      </c>
      <c r="C17" s="35" t="str">
        <f aca="false">IFERROR(IF(INDEX(BaseDados!$G:$G,MATCH($G$1&amp;"|"&amp;$G17,BaseDados!$A:$A,0))="","",INDEX(BaseDados!$G:$G,MATCH($G$1&amp;"|"&amp;$G17,BaseDados!$A:$A,0))),"")</f>
        <v/>
      </c>
      <c r="D17" s="35" t="str">
        <f aca="false">IFERROR(IF(INDEX(BaseDados!$H:$H,MATCH($G$1&amp;"|"&amp;$G17,BaseDados!$A:$A,0))="","",INDEX(BaseDados!$H:$H,MATCH($G$1&amp;"|"&amp;$G17,BaseDados!$A:$A,0))),"")</f>
        <v/>
      </c>
      <c r="E17" s="10" t="str">
        <f aca="false" t="array" ref="E17:E17">GestorSecretario</f>
        <v>RONALDO XAVIER DE CARVALHO</v>
      </c>
      <c r="F17" s="10" t="str">
        <f aca="false">IFERROR(IF(INDEX(BaseDados!$I:$I,MATCH($G$1&amp;"|"&amp;$G17,BaseDados!$A:$A,0))="","",INDEX(BaseDados!$I:$I,MATCH($G$1&amp;"|"&amp;$G17,BaseDados!$A:$A,0))),"")</f>
        <v/>
      </c>
      <c r="G17" s="0" t="n">
        <v>13</v>
      </c>
    </row>
    <row r="18" customFormat="false" ht="15" hidden="false" customHeight="false" outlineLevel="0" collapsed="false">
      <c r="A18" s="7" t="s">
        <v>109</v>
      </c>
      <c r="B18" s="7" t="str">
        <f aca="false">IFERROR(IF(INDEX(BaseDados!$F:$F,MATCH($G$1&amp;"|"&amp;$G18,BaseDados!$A:$A,0))="","",INDEX(BaseDados!$F:$F,MATCH($G$1&amp;"|"&amp;$G18,BaseDados!$A:$A,0))),"")</f>
        <v>Não avaliado</v>
      </c>
      <c r="C18" s="38" t="str">
        <f aca="false">IFERROR(IF(INDEX(BaseDados!$G:$G,MATCH($G$1&amp;"|"&amp;$G18,BaseDados!$A:$A,0))="","",INDEX(BaseDados!$G:$G,MATCH($G$1&amp;"|"&amp;$G18,BaseDados!$A:$A,0))),"")</f>
        <v/>
      </c>
      <c r="D18" s="38" t="str">
        <f aca="false">IFERROR(IF(INDEX(BaseDados!$H:$H,MATCH($G$1&amp;"|"&amp;$G18,BaseDados!$A:$A,0))="","",INDEX(BaseDados!$H:$H,MATCH($G$1&amp;"|"&amp;$G18,BaseDados!$A:$A,0))),"")</f>
        <v/>
      </c>
      <c r="E18" s="8" t="str">
        <f aca="false" t="array" ref="E18:E18">GestorSecretario</f>
        <v>RONALDO XAVIER DE CARVALHO</v>
      </c>
      <c r="F18" s="8" t="str">
        <f aca="false">IFERROR(IF(INDEX(BaseDados!$I:$I,MATCH($G$1&amp;"|"&amp;$G18,BaseDados!$A:$A,0))="","",INDEX(BaseDados!$I:$I,MATCH($G$1&amp;"|"&amp;$G18,BaseDados!$A:$A,0))),"")</f>
        <v/>
      </c>
      <c r="G18" s="0" t="n">
        <v>14</v>
      </c>
    </row>
    <row r="19" customFormat="false" ht="15" hidden="false" customHeight="false" outlineLevel="0" collapsed="false">
      <c r="A19" s="9" t="s">
        <v>110</v>
      </c>
      <c r="B19" s="9" t="str">
        <f aca="false">IFERROR(IF(INDEX(BaseDados!$F:$F,MATCH($G$1&amp;"|"&amp;$G19,BaseDados!$A:$A,0))="","",INDEX(BaseDados!$F:$F,MATCH($G$1&amp;"|"&amp;$G19,BaseDados!$A:$A,0))),"")</f>
        <v>Não avaliado</v>
      </c>
      <c r="C19" s="35" t="str">
        <f aca="false">IFERROR(IF(INDEX(BaseDados!$G:$G,MATCH($G$1&amp;"|"&amp;$G19,BaseDados!$A:$A,0))="","",INDEX(BaseDados!$G:$G,MATCH($G$1&amp;"|"&amp;$G19,BaseDados!$A:$A,0))),"")</f>
        <v/>
      </c>
      <c r="D19" s="35" t="str">
        <f aca="false">IFERROR(IF(INDEX(BaseDados!$H:$H,MATCH($G$1&amp;"|"&amp;$G19,BaseDados!$A:$A,0))="","",INDEX(BaseDados!$H:$H,MATCH($G$1&amp;"|"&amp;$G19,BaseDados!$A:$A,0))),"")</f>
        <v/>
      </c>
      <c r="E19" s="10" t="str">
        <f aca="false" t="array" ref="E19:E19">GestorSecretario</f>
        <v>RONALDO XAVIER DE CARVALHO</v>
      </c>
      <c r="F19" s="10" t="str">
        <f aca="false">IFERROR(IF(INDEX(BaseDados!$I:$I,MATCH($G$1&amp;"|"&amp;$G19,BaseDados!$A:$A,0))="","",INDEX(BaseDados!$I:$I,MATCH($G$1&amp;"|"&amp;$G19,BaseDados!$A:$A,0))),"")</f>
        <v/>
      </c>
      <c r="G19" s="0" t="n">
        <v>15</v>
      </c>
    </row>
    <row r="20" customFormat="false" ht="15" hidden="false" customHeight="false" outlineLevel="0" collapsed="false">
      <c r="A20" s="27" t="s">
        <v>140</v>
      </c>
      <c r="B20" s="27" t="s">
        <v>88</v>
      </c>
      <c r="C20" s="27" t="s">
        <v>135</v>
      </c>
      <c r="D20" s="27" t="s">
        <v>90</v>
      </c>
      <c r="E20" s="27" t="s">
        <v>139</v>
      </c>
      <c r="F20" s="27" t="s">
        <v>91</v>
      </c>
    </row>
    <row r="21" customFormat="false" ht="15" hidden="false" customHeight="false" outlineLevel="0" collapsed="false">
      <c r="A21" s="7" t="s">
        <v>112</v>
      </c>
      <c r="B21" s="7" t="str">
        <f aca="false">IFERROR(IF(INDEX(BaseDados!$F:$F,MATCH($G$1&amp;"|"&amp;$G21,BaseDados!$A:$A,0))="","",INDEX(BaseDados!$F:$F,MATCH($G$1&amp;"|"&amp;$G21,BaseDados!$A:$A,0))),"")</f>
        <v>Não avaliado</v>
      </c>
      <c r="C21" s="38" t="str">
        <f aca="false">IFERROR(IF(INDEX(BaseDados!$G:$G,MATCH($G$1&amp;"|"&amp;$G21,BaseDados!$A:$A,0))="","",INDEX(BaseDados!$G:$G,MATCH($G$1&amp;"|"&amp;$G21,BaseDados!$A:$A,0))),"")</f>
        <v/>
      </c>
      <c r="D21" s="38" t="str">
        <f aca="false">IFERROR(IF(INDEX(BaseDados!$H:$H,MATCH($G$1&amp;"|"&amp;$G21,BaseDados!$A:$A,0))="","",INDEX(BaseDados!$H:$H,MATCH($G$1&amp;"|"&amp;$G21,BaseDados!$A:$A,0))),"")</f>
        <v/>
      </c>
      <c r="E21" s="8" t="str">
        <f aca="false" t="array" ref="E21:E21">GestorSecretario</f>
        <v>RONALDO XAVIER DE CARVALHO</v>
      </c>
      <c r="F21" s="8" t="str">
        <f aca="false">IFERROR(IF(INDEX(BaseDados!$I:$I,MATCH($G$1&amp;"|"&amp;$G21,BaseDados!$A:$A,0))="","",INDEX(BaseDados!$I:$I,MATCH($G$1&amp;"|"&amp;$G21,BaseDados!$A:$A,0))),"")</f>
        <v/>
      </c>
      <c r="G21" s="0" t="n">
        <v>16</v>
      </c>
    </row>
    <row r="22" customFormat="false" ht="15" hidden="false" customHeight="false" outlineLevel="0" collapsed="false">
      <c r="A22" s="9" t="s">
        <v>113</v>
      </c>
      <c r="B22" s="9" t="str">
        <f aca="false">IFERROR(IF(INDEX(BaseDados!$F:$F,MATCH($G$1&amp;"|"&amp;$G22,BaseDados!$A:$A,0))="","",INDEX(BaseDados!$F:$F,MATCH($G$1&amp;"|"&amp;$G22,BaseDados!$A:$A,0))),"")</f>
        <v>Não avaliado</v>
      </c>
      <c r="C22" s="35" t="str">
        <f aca="false">IFERROR(IF(INDEX(BaseDados!$G:$G,MATCH($G$1&amp;"|"&amp;$G22,BaseDados!$A:$A,0))="","",INDEX(BaseDados!$G:$G,MATCH($G$1&amp;"|"&amp;$G22,BaseDados!$A:$A,0))),"")</f>
        <v/>
      </c>
      <c r="D22" s="35" t="str">
        <f aca="false">IFERROR(IF(INDEX(BaseDados!$H:$H,MATCH($G$1&amp;"|"&amp;$G22,BaseDados!$A:$A,0))="","",INDEX(BaseDados!$H:$H,MATCH($G$1&amp;"|"&amp;$G22,BaseDados!$A:$A,0))),"")</f>
        <v/>
      </c>
      <c r="E22" s="10" t="str">
        <f aca="false" t="array" ref="E22:E22">GestorSecretario</f>
        <v>RONALDO XAVIER DE CARVALHO</v>
      </c>
      <c r="F22" s="10" t="str">
        <f aca="false">IFERROR(IF(INDEX(BaseDados!$I:$I,MATCH($G$1&amp;"|"&amp;$G22,BaseDados!$A:$A,0))="","",INDEX(BaseDados!$I:$I,MATCH($G$1&amp;"|"&amp;$G22,BaseDados!$A:$A,0))),"")</f>
        <v/>
      </c>
      <c r="G22" s="0" t="n">
        <v>17</v>
      </c>
    </row>
    <row r="23" customFormat="false" ht="15" hidden="false" customHeight="false" outlineLevel="0" collapsed="false">
      <c r="A23" s="7" t="s">
        <v>114</v>
      </c>
      <c r="B23" s="7" t="str">
        <f aca="false">IFERROR(IF(INDEX(BaseDados!$F:$F,MATCH($G$1&amp;"|"&amp;$G23,BaseDados!$A:$A,0))="","",INDEX(BaseDados!$F:$F,MATCH($G$1&amp;"|"&amp;$G23,BaseDados!$A:$A,0))),"")</f>
        <v>Não avaliado</v>
      </c>
      <c r="C23" s="38" t="str">
        <f aca="false">IFERROR(IF(INDEX(BaseDados!$G:$G,MATCH($G$1&amp;"|"&amp;$G23,BaseDados!$A:$A,0))="","",INDEX(BaseDados!$G:$G,MATCH($G$1&amp;"|"&amp;$G23,BaseDados!$A:$A,0))),"")</f>
        <v/>
      </c>
      <c r="D23" s="38" t="str">
        <f aca="false">IFERROR(IF(INDEX(BaseDados!$H:$H,MATCH($G$1&amp;"|"&amp;$G23,BaseDados!$A:$A,0))="","",INDEX(BaseDados!$H:$H,MATCH($G$1&amp;"|"&amp;$G23,BaseDados!$A:$A,0))),"")</f>
        <v/>
      </c>
      <c r="E23" s="8" t="str">
        <f aca="false" t="array" ref="E23:E23">GestorSecretario</f>
        <v>RONALDO XAVIER DE CARVALHO</v>
      </c>
      <c r="F23" s="8" t="str">
        <f aca="false">IFERROR(IF(INDEX(BaseDados!$I:$I,MATCH($G$1&amp;"|"&amp;$G23,BaseDados!$A:$A,0))="","",INDEX(BaseDados!$I:$I,MATCH($G$1&amp;"|"&amp;$G23,BaseDados!$A:$A,0))),"")</f>
        <v/>
      </c>
      <c r="G23" s="0" t="n">
        <v>18</v>
      </c>
    </row>
    <row r="24" customFormat="false" ht="15" hidden="false" customHeight="false" outlineLevel="0" collapsed="false">
      <c r="A24" s="9" t="s">
        <v>115</v>
      </c>
      <c r="B24" s="9" t="str">
        <f aca="false">IFERROR(IF(INDEX(BaseDados!$F:$F,MATCH($G$1&amp;"|"&amp;$G24,BaseDados!$A:$A,0))="","",INDEX(BaseDados!$F:$F,MATCH($G$1&amp;"|"&amp;$G24,BaseDados!$A:$A,0))),"")</f>
        <v>Não avaliado</v>
      </c>
      <c r="C24" s="35" t="str">
        <f aca="false">IFERROR(IF(INDEX(BaseDados!$G:$G,MATCH($G$1&amp;"|"&amp;$G24,BaseDados!$A:$A,0))="","",INDEX(BaseDados!$G:$G,MATCH($G$1&amp;"|"&amp;$G24,BaseDados!$A:$A,0))),"")</f>
        <v/>
      </c>
      <c r="D24" s="35" t="str">
        <f aca="false">IFERROR(IF(INDEX(BaseDados!$H:$H,MATCH($G$1&amp;"|"&amp;$G24,BaseDados!$A:$A,0))="","",INDEX(BaseDados!$H:$H,MATCH($G$1&amp;"|"&amp;$G24,BaseDados!$A:$A,0))),"")</f>
        <v/>
      </c>
      <c r="E24" s="10" t="str">
        <f aca="false" t="array" ref="E24:E24">GestorSecretario</f>
        <v>RONALDO XAVIER DE CARVALHO</v>
      </c>
      <c r="F24" s="10" t="str">
        <f aca="false">IFERROR(IF(INDEX(BaseDados!$I:$I,MATCH($G$1&amp;"|"&amp;$G24,BaseDados!$A:$A,0))="","",INDEX(BaseDados!$I:$I,MATCH($G$1&amp;"|"&amp;$G24,BaseDados!$A:$A,0))),"")</f>
        <v/>
      </c>
      <c r="G24" s="0" t="n">
        <v>19</v>
      </c>
    </row>
    <row r="25" customFormat="false" ht="15" hidden="false" customHeight="false" outlineLevel="0" collapsed="false">
      <c r="A25" s="7" t="s">
        <v>116</v>
      </c>
      <c r="B25" s="7" t="str">
        <f aca="false">IFERROR(IF(INDEX(BaseDados!$F:$F,MATCH($G$1&amp;"|"&amp;$G25,BaseDados!$A:$A,0))="","",INDEX(BaseDados!$F:$F,MATCH($G$1&amp;"|"&amp;$G25,BaseDados!$A:$A,0))),"")</f>
        <v>Não avaliado</v>
      </c>
      <c r="C25" s="38" t="str">
        <f aca="false">IFERROR(IF(INDEX(BaseDados!$G:$G,MATCH($G$1&amp;"|"&amp;$G25,BaseDados!$A:$A,0))="","",INDEX(BaseDados!$G:$G,MATCH($G$1&amp;"|"&amp;$G25,BaseDados!$A:$A,0))),"")</f>
        <v/>
      </c>
      <c r="D25" s="38" t="str">
        <f aca="false">IFERROR(IF(INDEX(BaseDados!$H:$H,MATCH($G$1&amp;"|"&amp;$G25,BaseDados!$A:$A,0))="","",INDEX(BaseDados!$H:$H,MATCH($G$1&amp;"|"&amp;$G25,BaseDados!$A:$A,0))),"")</f>
        <v/>
      </c>
      <c r="E25" s="8" t="str">
        <f aca="false" t="array" ref="E25:E25">GestorSecretario</f>
        <v>RONALDO XAVIER DE CARVALHO</v>
      </c>
      <c r="F25" s="8" t="str">
        <f aca="false">IFERROR(IF(INDEX(BaseDados!$I:$I,MATCH($G$1&amp;"|"&amp;$G25,BaseDados!$A:$A,0))="","",INDEX(BaseDados!$I:$I,MATCH($G$1&amp;"|"&amp;$G25,BaseDados!$A:$A,0))),"")</f>
        <v/>
      </c>
      <c r="G25" s="0" t="n">
        <v>20</v>
      </c>
    </row>
    <row r="26" customFormat="false" ht="15" hidden="false" customHeight="false" outlineLevel="0" collapsed="false">
      <c r="A26" s="9" t="s">
        <v>117</v>
      </c>
      <c r="B26" s="9" t="str">
        <f aca="false">IFERROR(IF(INDEX(BaseDados!$F:$F,MATCH($G$1&amp;"|"&amp;$G26,BaseDados!$A:$A,0))="","",INDEX(BaseDados!$F:$F,MATCH($G$1&amp;"|"&amp;$G26,BaseDados!$A:$A,0))),"")</f>
        <v>Não avaliado</v>
      </c>
      <c r="C26" s="35" t="str">
        <f aca="false">IFERROR(IF(INDEX(BaseDados!$G:$G,MATCH($G$1&amp;"|"&amp;$G26,BaseDados!$A:$A,0))="","",INDEX(BaseDados!$G:$G,MATCH($G$1&amp;"|"&amp;$G26,BaseDados!$A:$A,0))),"")</f>
        <v/>
      </c>
      <c r="D26" s="35" t="str">
        <f aca="false">IFERROR(IF(INDEX(BaseDados!$H:$H,MATCH($G$1&amp;"|"&amp;$G26,BaseDados!$A:$A,0))="","",INDEX(BaseDados!$H:$H,MATCH($G$1&amp;"|"&amp;$G26,BaseDados!$A:$A,0))),"")</f>
        <v/>
      </c>
      <c r="E26" s="10" t="str">
        <f aca="false" t="array" ref="E26:E26">GestorSecretario</f>
        <v>RONALDO XAVIER DE CARVALHO</v>
      </c>
      <c r="F26" s="10" t="str">
        <f aca="false">IFERROR(IF(INDEX(BaseDados!$I:$I,MATCH($G$1&amp;"|"&amp;$G26,BaseDados!$A:$A,0))="","",INDEX(BaseDados!$I:$I,MATCH($G$1&amp;"|"&amp;$G26,BaseDados!$A:$A,0))),"")</f>
        <v/>
      </c>
      <c r="G26" s="0" t="n">
        <v>21</v>
      </c>
    </row>
    <row r="27" customFormat="false" ht="15" hidden="false" customHeight="false" outlineLevel="0" collapsed="false">
      <c r="A27" s="7" t="s">
        <v>118</v>
      </c>
      <c r="B27" s="7" t="str">
        <f aca="false">IFERROR(IF(INDEX(BaseDados!$F:$F,MATCH($G$1&amp;"|"&amp;$G27,BaseDados!$A:$A,0))="","",INDEX(BaseDados!$F:$F,MATCH($G$1&amp;"|"&amp;$G27,BaseDados!$A:$A,0))),"")</f>
        <v>Não avaliado</v>
      </c>
      <c r="C27" s="38" t="str">
        <f aca="false">IFERROR(IF(INDEX(BaseDados!$G:$G,MATCH($G$1&amp;"|"&amp;$G27,BaseDados!$A:$A,0))="","",INDEX(BaseDados!$G:$G,MATCH($G$1&amp;"|"&amp;$G27,BaseDados!$A:$A,0))),"")</f>
        <v/>
      </c>
      <c r="D27" s="38" t="str">
        <f aca="false">IFERROR(IF(INDEX(BaseDados!$H:$H,MATCH($G$1&amp;"|"&amp;$G27,BaseDados!$A:$A,0))="","",INDEX(BaseDados!$H:$H,MATCH($G$1&amp;"|"&amp;$G27,BaseDados!$A:$A,0))),"")</f>
        <v/>
      </c>
      <c r="E27" s="8" t="str">
        <f aca="false" t="array" ref="E27:E27">GestorSecretario</f>
        <v>RONALDO XAVIER DE CARVALHO</v>
      </c>
      <c r="F27" s="8" t="str">
        <f aca="false">IFERROR(IF(INDEX(BaseDados!$I:$I,MATCH($G$1&amp;"|"&amp;$G27,BaseDados!$A:$A,0))="","",INDEX(BaseDados!$I:$I,MATCH($G$1&amp;"|"&amp;$G27,BaseDados!$A:$A,0))),"")</f>
        <v/>
      </c>
      <c r="G27" s="0" t="n">
        <v>22</v>
      </c>
    </row>
    <row r="28" customFormat="false" ht="15" hidden="false" customHeight="false" outlineLevel="0" collapsed="false">
      <c r="A28" s="9" t="s">
        <v>119</v>
      </c>
      <c r="B28" s="9" t="str">
        <f aca="false">IFERROR(IF(INDEX(BaseDados!$F:$F,MATCH($G$1&amp;"|"&amp;$G28,BaseDados!$A:$A,0))="","",INDEX(BaseDados!$F:$F,MATCH($G$1&amp;"|"&amp;$G28,BaseDados!$A:$A,0))),"")</f>
        <v>Não avaliado</v>
      </c>
      <c r="C28" s="35" t="str">
        <f aca="false">IFERROR(IF(INDEX(BaseDados!$G:$G,MATCH($G$1&amp;"|"&amp;$G28,BaseDados!$A:$A,0))="","",INDEX(BaseDados!$G:$G,MATCH($G$1&amp;"|"&amp;$G28,BaseDados!$A:$A,0))),"")</f>
        <v/>
      </c>
      <c r="D28" s="35" t="str">
        <f aca="false">IFERROR(IF(INDEX(BaseDados!$H:$H,MATCH($G$1&amp;"|"&amp;$G28,BaseDados!$A:$A,0))="","",INDEX(BaseDados!$H:$H,MATCH($G$1&amp;"|"&amp;$G28,BaseDados!$A:$A,0))),"")</f>
        <v/>
      </c>
      <c r="E28" s="10" t="str">
        <f aca="false" t="array" ref="E28:E28">GestorSecretario</f>
        <v>RONALDO XAVIER DE CARVALHO</v>
      </c>
      <c r="F28" s="10" t="str">
        <f aca="false">IFERROR(IF(INDEX(BaseDados!$I:$I,MATCH($G$1&amp;"|"&amp;$G28,BaseDados!$A:$A,0))="","",INDEX(BaseDados!$I:$I,MATCH($G$1&amp;"|"&amp;$G28,BaseDados!$A:$A,0))),"")</f>
        <v/>
      </c>
      <c r="G28" s="0" t="n">
        <v>23</v>
      </c>
    </row>
    <row r="29" customFormat="false" ht="15" hidden="false" customHeight="false" outlineLevel="0" collapsed="false">
      <c r="A29" s="7" t="s">
        <v>120</v>
      </c>
      <c r="B29" s="39" t="str">
        <f aca="false">IFERROR(IF(INDEX(BaseDados!$F:$F,MATCH($G$1&amp;"|"&amp;$G29,BaseDados!$A:$A,0))="","",INDEX(BaseDados!$F:$F,MATCH($G$1&amp;"|"&amp;$G29,BaseDados!$A:$A,0))),"")</f>
        <v>Não avaliado</v>
      </c>
      <c r="C29" s="38" t="str">
        <f aca="false">IFERROR(IF(INDEX(BaseDados!$G:$G,MATCH($G$1&amp;"|"&amp;$G29,BaseDados!$A:$A,0))="","",INDEX(BaseDados!$G:$G,MATCH($G$1&amp;"|"&amp;$G29,BaseDados!$A:$A,0))),"")</f>
        <v/>
      </c>
      <c r="D29" s="38" t="str">
        <f aca="false">IFERROR(IF(INDEX(BaseDados!$H:$H,MATCH($G$1&amp;"|"&amp;$G29,BaseDados!$A:$A,0))="","",INDEX(BaseDados!$H:$H,MATCH($G$1&amp;"|"&amp;$G29,BaseDados!$A:$A,0))),"")</f>
        <v/>
      </c>
      <c r="E29" s="8" t="str">
        <f aca="false" t="array" ref="E29:E29">GestorSecretario</f>
        <v>RONALDO XAVIER DE CARVALHO</v>
      </c>
      <c r="F29" s="8" t="str">
        <f aca="false">IFERROR(IF(INDEX(BaseDados!$I:$I,MATCH($G$1&amp;"|"&amp;$G29,BaseDados!$A:$A,0))="","",INDEX(BaseDados!$I:$I,MATCH($G$1&amp;"|"&amp;$G29,BaseDados!$A:$A,0))),"")</f>
        <v/>
      </c>
      <c r="G29" s="0" t="n">
        <v>24</v>
      </c>
    </row>
    <row r="30" customFormat="false" ht="15" hidden="false" customHeight="false" outlineLevel="0" collapsed="false">
      <c r="A30" s="27" t="s">
        <v>141</v>
      </c>
      <c r="B30" s="27" t="s">
        <v>88</v>
      </c>
      <c r="C30" s="27" t="s">
        <v>135</v>
      </c>
      <c r="D30" s="27" t="s">
        <v>90</v>
      </c>
      <c r="E30" s="27" t="s">
        <v>139</v>
      </c>
      <c r="F30" s="27" t="s">
        <v>91</v>
      </c>
    </row>
    <row r="31" customFormat="false" ht="15" hidden="false" customHeight="false" outlineLevel="0" collapsed="false">
      <c r="A31" s="7" t="s">
        <v>122</v>
      </c>
      <c r="B31" s="7" t="str">
        <f aca="false">IFERROR(IF(INDEX(BaseDados!$F:$F,MATCH($G$1&amp;"|"&amp;$G31,BaseDados!$A:$A,0))="","",INDEX(BaseDados!$F:$F,MATCH($G$1&amp;"|"&amp;$G31,BaseDados!$A:$A,0))),"")</f>
        <v>Não avaliado</v>
      </c>
      <c r="C31" s="38" t="str">
        <f aca="false">IFERROR(IF(INDEX(BaseDados!$G:$G,MATCH($G$1&amp;"|"&amp;$G31,BaseDados!$A:$A,0))="","",INDEX(BaseDados!$G:$G,MATCH($G$1&amp;"|"&amp;$G31,BaseDados!$A:$A,0))),"")</f>
        <v/>
      </c>
      <c r="D31" s="38" t="str">
        <f aca="false">IFERROR(IF(INDEX(BaseDados!$H:$H,MATCH($G$1&amp;"|"&amp;$G31,BaseDados!$A:$A,0))="","",INDEX(BaseDados!$H:$H,MATCH($G$1&amp;"|"&amp;$G31,BaseDados!$A:$A,0))),"")</f>
        <v/>
      </c>
      <c r="E31" s="8" t="str">
        <f aca="false" t="array" ref="E31:E31">GestorSecretario</f>
        <v>RONALDO XAVIER DE CARVALHO</v>
      </c>
      <c r="F31" s="8" t="str">
        <f aca="false">IFERROR(IF(INDEX(BaseDados!$I:$I,MATCH($G$1&amp;"|"&amp;$G31,BaseDados!$A:$A,0))="","",INDEX(BaseDados!$I:$I,MATCH($G$1&amp;"|"&amp;$G31,BaseDados!$A:$A,0))),"")</f>
        <v/>
      </c>
      <c r="G31" s="0" t="n">
        <v>25</v>
      </c>
    </row>
    <row r="32" customFormat="false" ht="15" hidden="false" customHeight="false" outlineLevel="0" collapsed="false">
      <c r="A32" s="9" t="s">
        <v>123</v>
      </c>
      <c r="B32" s="9" t="str">
        <f aca="false">IFERROR(IF(INDEX(BaseDados!$F:$F,MATCH($G$1&amp;"|"&amp;$G32,BaseDados!$A:$A,0))="","",INDEX(BaseDados!$F:$F,MATCH($G$1&amp;"|"&amp;$G32,BaseDados!$A:$A,0))),"")</f>
        <v>Não avaliado</v>
      </c>
      <c r="C32" s="35" t="str">
        <f aca="false">IFERROR(IF(INDEX(BaseDados!$G:$G,MATCH($G$1&amp;"|"&amp;$G32,BaseDados!$A:$A,0))="","",INDEX(BaseDados!$G:$G,MATCH($G$1&amp;"|"&amp;$G32,BaseDados!$A:$A,0))),"")</f>
        <v/>
      </c>
      <c r="D32" s="35" t="str">
        <f aca="false">IFERROR(IF(INDEX(BaseDados!$H:$H,MATCH($G$1&amp;"|"&amp;$G32,BaseDados!$A:$A,0))="","",INDEX(BaseDados!$H:$H,MATCH($G$1&amp;"|"&amp;$G32,BaseDados!$A:$A,0))),"")</f>
        <v/>
      </c>
      <c r="E32" s="10" t="str">
        <f aca="false" t="array" ref="E32:E32">GestorSecretario</f>
        <v>RONALDO XAVIER DE CARVALHO</v>
      </c>
      <c r="F32" s="10" t="str">
        <f aca="false">IFERROR(IF(INDEX(BaseDados!$I:$I,MATCH($G$1&amp;"|"&amp;$G32,BaseDados!$A:$A,0))="","",INDEX(BaseDados!$I:$I,MATCH($G$1&amp;"|"&amp;$G32,BaseDados!$A:$A,0))),"")</f>
        <v/>
      </c>
      <c r="G32" s="0" t="n">
        <v>26</v>
      </c>
    </row>
    <row r="33" customFormat="false" ht="15" hidden="false" customHeight="false" outlineLevel="0" collapsed="false">
      <c r="A33" s="7" t="s">
        <v>124</v>
      </c>
      <c r="B33" s="7" t="str">
        <f aca="false">IFERROR(IF(INDEX(BaseDados!$F:$F,MATCH($G$1&amp;"|"&amp;$G33,BaseDados!$A:$A,0))="","",INDEX(BaseDados!$F:$F,MATCH($G$1&amp;"|"&amp;$G33,BaseDados!$A:$A,0))),"")</f>
        <v>Não avaliado</v>
      </c>
      <c r="C33" s="38" t="str">
        <f aca="false">IFERROR(IF(INDEX(BaseDados!$G:$G,MATCH($G$1&amp;"|"&amp;$G33,BaseDados!$A:$A,0))="","",INDEX(BaseDados!$G:$G,MATCH($G$1&amp;"|"&amp;$G33,BaseDados!$A:$A,0))),"")</f>
        <v/>
      </c>
      <c r="D33" s="38" t="str">
        <f aca="false">IFERROR(IF(INDEX(BaseDados!$H:$H,MATCH($G$1&amp;"|"&amp;$G33,BaseDados!$A:$A,0))="","",INDEX(BaseDados!$H:$H,MATCH($G$1&amp;"|"&amp;$G33,BaseDados!$A:$A,0))),"")</f>
        <v/>
      </c>
      <c r="E33" s="8" t="str">
        <f aca="false" t="array" ref="E33:E33">GestorSecretario</f>
        <v>RONALDO XAVIER DE CARVALHO</v>
      </c>
      <c r="F33" s="8" t="str">
        <f aca="false">IFERROR(IF(INDEX(BaseDados!$I:$I,MATCH($G$1&amp;"|"&amp;$G33,BaseDados!$A:$A,0))="","",INDEX(BaseDados!$I:$I,MATCH($G$1&amp;"|"&amp;$G33,BaseDados!$A:$A,0))),"")</f>
        <v/>
      </c>
      <c r="G33" s="0" t="n">
        <v>27</v>
      </c>
    </row>
    <row r="34" customFormat="false" ht="15" hidden="false" customHeight="false" outlineLevel="0" collapsed="false">
      <c r="A34" s="9" t="s">
        <v>125</v>
      </c>
      <c r="B34" s="9" t="str">
        <f aca="false">IFERROR(IF(INDEX(BaseDados!$F:$F,MATCH($G$1&amp;"|"&amp;$G34,BaseDados!$A:$A,0))="","",INDEX(BaseDados!$F:$F,MATCH($G$1&amp;"|"&amp;$G34,BaseDados!$A:$A,0))),"")</f>
        <v>Não avaliado</v>
      </c>
      <c r="C34" s="35" t="str">
        <f aca="false">IFERROR(IF(INDEX(BaseDados!$G:$G,MATCH($G$1&amp;"|"&amp;$G34,BaseDados!$A:$A,0))="","",INDEX(BaseDados!$G:$G,MATCH($G$1&amp;"|"&amp;$G34,BaseDados!$A:$A,0))),"")</f>
        <v/>
      </c>
      <c r="D34" s="35" t="str">
        <f aca="false">IFERROR(IF(INDEX(BaseDados!$H:$H,MATCH($G$1&amp;"|"&amp;$G34,BaseDados!$A:$A,0))="","",INDEX(BaseDados!$H:$H,MATCH($G$1&amp;"|"&amp;$G34,BaseDados!$A:$A,0))),"")</f>
        <v/>
      </c>
      <c r="E34" s="10" t="str">
        <f aca="false" t="array" ref="E34:E34">GestorSecretario</f>
        <v>RONALDO XAVIER DE CARVALHO</v>
      </c>
      <c r="F34" s="10" t="str">
        <f aca="false">IFERROR(IF(INDEX(BaseDados!$I:$I,MATCH($G$1&amp;"|"&amp;$G34,BaseDados!$A:$A,0))="","",INDEX(BaseDados!$I:$I,MATCH($G$1&amp;"|"&amp;$G34,BaseDados!$A:$A,0))),"")</f>
        <v/>
      </c>
      <c r="G34" s="0" t="n">
        <v>28</v>
      </c>
    </row>
    <row r="35" customFormat="false" ht="15" hidden="false" customHeight="false" outlineLevel="0" collapsed="false">
      <c r="A35" s="7" t="s">
        <v>126</v>
      </c>
      <c r="B35" s="7" t="str">
        <f aca="false">IFERROR(IF(INDEX(BaseDados!$F:$F,MATCH($G$1&amp;"|"&amp;$G35,BaseDados!$A:$A,0))="","",INDEX(BaseDados!$F:$F,MATCH($G$1&amp;"|"&amp;$G35,BaseDados!$A:$A,0))),"")</f>
        <v>Não avaliado</v>
      </c>
      <c r="C35" s="38" t="str">
        <f aca="false">IFERROR(IF(INDEX(BaseDados!$G:$G,MATCH($G$1&amp;"|"&amp;$G35,BaseDados!$A:$A,0))="","",INDEX(BaseDados!$G:$G,MATCH($G$1&amp;"|"&amp;$G35,BaseDados!$A:$A,0))),"")</f>
        <v/>
      </c>
      <c r="D35" s="38" t="str">
        <f aca="false">IFERROR(IF(INDEX(BaseDados!$H:$H,MATCH($G$1&amp;"|"&amp;$G35,BaseDados!$A:$A,0))="","",INDEX(BaseDados!$H:$H,MATCH($G$1&amp;"|"&amp;$G35,BaseDados!$A:$A,0))),"")</f>
        <v/>
      </c>
      <c r="E35" s="8" t="str">
        <f aca="false" t="array" ref="E35:E35">GestorSecretario</f>
        <v>RONALDO XAVIER DE CARVALHO</v>
      </c>
      <c r="F35" s="8" t="str">
        <f aca="false">IFERROR(IF(INDEX(BaseDados!$I:$I,MATCH($G$1&amp;"|"&amp;$G35,BaseDados!$A:$A,0))="","",INDEX(BaseDados!$I:$I,MATCH($G$1&amp;"|"&amp;$G35,BaseDados!$A:$A,0))),"")</f>
        <v/>
      </c>
      <c r="G35" s="0" t="n">
        <v>29</v>
      </c>
    </row>
    <row r="36" customFormat="false" ht="15" hidden="false" customHeight="false" outlineLevel="0" collapsed="false">
      <c r="A36" s="27" t="s">
        <v>142</v>
      </c>
      <c r="B36" s="27" t="s">
        <v>88</v>
      </c>
      <c r="C36" s="27" t="s">
        <v>135</v>
      </c>
      <c r="D36" s="27" t="s">
        <v>90</v>
      </c>
      <c r="E36" s="27" t="s">
        <v>139</v>
      </c>
      <c r="F36" s="27" t="s">
        <v>91</v>
      </c>
    </row>
    <row r="37" customFormat="false" ht="15" hidden="false" customHeight="false" outlineLevel="0" collapsed="false">
      <c r="A37" s="7" t="s">
        <v>128</v>
      </c>
      <c r="B37" s="7" t="str">
        <f aca="false">IFERROR(IF(INDEX(BaseDados!$F:$F,MATCH($G$1&amp;"|"&amp;$G37,BaseDados!$A:$A,0))="","",INDEX(BaseDados!$F:$F,MATCH($G$1&amp;"|"&amp;$G37,BaseDados!$A:$A,0))),"")</f>
        <v>Não avaliado</v>
      </c>
      <c r="C37" s="38" t="str">
        <f aca="false">IFERROR(IF(INDEX(BaseDados!$G:$G,MATCH($G$1&amp;"|"&amp;$G37,BaseDados!$A:$A,0))="","",INDEX(BaseDados!$G:$G,MATCH($G$1&amp;"|"&amp;$G37,BaseDados!$A:$A,0))),"")</f>
        <v/>
      </c>
      <c r="D37" s="38" t="str">
        <f aca="false">IFERROR(IF(INDEX(BaseDados!$H:$H,MATCH($G$1&amp;"|"&amp;$G37,BaseDados!$A:$A,0))="","",INDEX(BaseDados!$H:$H,MATCH($G$1&amp;"|"&amp;$G37,BaseDados!$A:$A,0))),"")</f>
        <v/>
      </c>
      <c r="E37" s="8" t="str">
        <f aca="false" t="array" ref="E37:E37">GestorSecretario</f>
        <v>RONALDO XAVIER DE CARVALHO</v>
      </c>
      <c r="F37" s="8" t="str">
        <f aca="false">IFERROR(IF(INDEX(BaseDados!$I:$I,MATCH($G$1&amp;"|"&amp;$G37,BaseDados!$A:$A,0))="","",INDEX(BaseDados!$I:$I,MATCH($G$1&amp;"|"&amp;$G37,BaseDados!$A:$A,0))),"")</f>
        <v/>
      </c>
      <c r="G37" s="0" t="n">
        <v>30</v>
      </c>
    </row>
    <row r="38" customFormat="false" ht="15" hidden="false" customHeight="false" outlineLevel="0" collapsed="false">
      <c r="A38" s="9" t="s">
        <v>108</v>
      </c>
      <c r="B38" s="9" t="str">
        <f aca="false">IFERROR(IF(INDEX(BaseDados!$F:$F,MATCH($G$1&amp;"|"&amp;$G38,BaseDados!$A:$A,0))="","",INDEX(BaseDados!$F:$F,MATCH($G$1&amp;"|"&amp;$G38,BaseDados!$A:$A,0))),"")</f>
        <v>Não avaliado</v>
      </c>
      <c r="C38" s="35" t="str">
        <f aca="false">IFERROR(IF(INDEX(BaseDados!$G:$G,MATCH($G$1&amp;"|"&amp;$G38,BaseDados!$A:$A,0))="","",INDEX(BaseDados!$G:$G,MATCH($G$1&amp;"|"&amp;$G38,BaseDados!$A:$A,0))),"")</f>
        <v/>
      </c>
      <c r="D38" s="35" t="str">
        <f aca="false">IFERROR(IF(INDEX(BaseDados!$H:$H,MATCH($G$1&amp;"|"&amp;$G38,BaseDados!$A:$A,0))="","",INDEX(BaseDados!$H:$H,MATCH($G$1&amp;"|"&amp;$G38,BaseDados!$A:$A,0))),"")</f>
        <v/>
      </c>
      <c r="E38" s="10" t="str">
        <f aca="false" t="array" ref="E38:E38">GestorSecretario</f>
        <v>RONALDO XAVIER DE CARVALHO</v>
      </c>
      <c r="F38" s="10" t="str">
        <f aca="false">IFERROR(IF(INDEX(BaseDados!$I:$I,MATCH($G$1&amp;"|"&amp;$G38,BaseDados!$A:$A,0))="","",INDEX(BaseDados!$I:$I,MATCH($G$1&amp;"|"&amp;$G38,BaseDados!$A:$A,0))),"")</f>
        <v/>
      </c>
      <c r="G38" s="0" t="n">
        <v>31</v>
      </c>
    </row>
    <row r="39" customFormat="false" ht="15" hidden="false" customHeight="false" outlineLevel="0" collapsed="false">
      <c r="A39" s="7" t="s">
        <v>129</v>
      </c>
      <c r="B39" s="7" t="str">
        <f aca="false">IFERROR(IF(INDEX(BaseDados!$F:$F,MATCH($G$1&amp;"|"&amp;$G39,BaseDados!$A:$A,0))="","",INDEX(BaseDados!$F:$F,MATCH($G$1&amp;"|"&amp;$G39,BaseDados!$A:$A,0))),"")</f>
        <v>Não avaliado</v>
      </c>
      <c r="C39" s="38" t="str">
        <f aca="false">IFERROR(IF(INDEX(BaseDados!$G:$G,MATCH($G$1&amp;"|"&amp;$G39,BaseDados!$A:$A,0))="","",INDEX(BaseDados!$G:$G,MATCH($G$1&amp;"|"&amp;$G39,BaseDados!$A:$A,0))),"")</f>
        <v/>
      </c>
      <c r="D39" s="38" t="str">
        <f aca="false">IFERROR(IF(INDEX(BaseDados!$H:$H,MATCH($G$1&amp;"|"&amp;$G39,BaseDados!$A:$A,0))="","",INDEX(BaseDados!$H:$H,MATCH($G$1&amp;"|"&amp;$G39,BaseDados!$A:$A,0))),"")</f>
        <v/>
      </c>
      <c r="E39" s="8" t="str">
        <f aca="false" t="array" ref="E39:E39">GestorSecretario</f>
        <v>RONALDO XAVIER DE CARVALHO</v>
      </c>
      <c r="F39" s="8" t="str">
        <f aca="false">IFERROR(IF(INDEX(BaseDados!$I:$I,MATCH($G$1&amp;"|"&amp;$G39,BaseDados!$A:$A,0))="","",INDEX(BaseDados!$I:$I,MATCH($G$1&amp;"|"&amp;$G39,BaseDados!$A:$A,0))),"")</f>
        <v/>
      </c>
      <c r="G39" s="0" t="n">
        <v>32</v>
      </c>
    </row>
    <row r="40" customFormat="false" ht="15" hidden="false" customHeight="false" outlineLevel="0" collapsed="false">
      <c r="A40" s="9" t="s">
        <v>130</v>
      </c>
      <c r="B40" s="9" t="str">
        <f aca="false">IFERROR(IF(INDEX(BaseDados!$F:$F,MATCH($G$1&amp;"|"&amp;$G40,BaseDados!$A:$A,0))="","",INDEX(BaseDados!$F:$F,MATCH($G$1&amp;"|"&amp;$G40,BaseDados!$A:$A,0))),"")</f>
        <v>Não avaliado</v>
      </c>
      <c r="C40" s="35" t="str">
        <f aca="false">IFERROR(IF(INDEX(BaseDados!$G:$G,MATCH($G$1&amp;"|"&amp;$G40,BaseDados!$A:$A,0))="","",INDEX(BaseDados!$G:$G,MATCH($G$1&amp;"|"&amp;$G40,BaseDados!$A:$A,0))),"")</f>
        <v/>
      </c>
      <c r="D40" s="35" t="str">
        <f aca="false">IFERROR(IF(INDEX(BaseDados!$H:$H,MATCH($G$1&amp;"|"&amp;$G40,BaseDados!$A:$A,0))="","",INDEX(BaseDados!$H:$H,MATCH($G$1&amp;"|"&amp;$G40,BaseDados!$A:$A,0))),"")</f>
        <v/>
      </c>
      <c r="E40" s="10" t="str">
        <f aca="false" t="array" ref="E40:E40">GestorSecretario</f>
        <v>RONALDO XAVIER DE CARVALHO</v>
      </c>
      <c r="F40" s="10" t="str">
        <f aca="false">IFERROR(IF(INDEX(BaseDados!$I:$I,MATCH($G$1&amp;"|"&amp;$G40,BaseDados!$A:$A,0))="","",INDEX(BaseDados!$I:$I,MATCH($G$1&amp;"|"&amp;$G40,BaseDados!$A:$A,0))),"")</f>
        <v/>
      </c>
      <c r="G40" s="0" t="n">
        <v>33</v>
      </c>
    </row>
    <row r="41" customFormat="false" ht="15" hidden="false" customHeight="false" outlineLevel="0" collapsed="false">
      <c r="A41" s="7" t="s">
        <v>131</v>
      </c>
      <c r="B41" s="7" t="str">
        <f aca="false">IFERROR(IF(INDEX(BaseDados!$F:$F,MATCH($G$1&amp;"|"&amp;$G41,BaseDados!$A:$A,0))="","",INDEX(BaseDados!$F:$F,MATCH($G$1&amp;"|"&amp;$G41,BaseDados!$A:$A,0))),"")</f>
        <v>Não avaliado</v>
      </c>
      <c r="C41" s="38" t="str">
        <f aca="false">IFERROR(IF(INDEX(BaseDados!$G:$G,MATCH($G$1&amp;"|"&amp;$G41,BaseDados!$A:$A,0))="","",INDEX(BaseDados!$G:$G,MATCH($G$1&amp;"|"&amp;$G41,BaseDados!$A:$A,0))),"")</f>
        <v/>
      </c>
      <c r="D41" s="38" t="str">
        <f aca="false">IFERROR(IF(INDEX(BaseDados!$H:$H,MATCH($G$1&amp;"|"&amp;$G41,BaseDados!$A:$A,0))="","",INDEX(BaseDados!$H:$H,MATCH($G$1&amp;"|"&amp;$G41,BaseDados!$A:$A,0))),"")</f>
        <v/>
      </c>
      <c r="E41" s="8" t="str">
        <f aca="false" t="array" ref="E41:E41">GestorSecretario</f>
        <v>RONALDO XAVIER DE CARVALHO</v>
      </c>
      <c r="F41" s="8" t="str">
        <f aca="false">IFERROR(IF(INDEX(BaseDados!$I:$I,MATCH($G$1&amp;"|"&amp;$G41,BaseDados!$A:$A,0))="","",INDEX(BaseDados!$I:$I,MATCH($G$1&amp;"|"&amp;$G41,BaseDados!$A:$A,0))),"")</f>
        <v/>
      </c>
      <c r="G41" s="0" t="n">
        <v>34</v>
      </c>
    </row>
    <row r="42" customFormat="false" ht="15" hidden="false" customHeight="false" outlineLevel="0" collapsed="false">
      <c r="B42" s="40"/>
    </row>
    <row r="43" customFormat="false" ht="15" hidden="false" customHeight="false" outlineLevel="0" collapsed="false">
      <c r="A43" s="41" t="s">
        <v>143</v>
      </c>
    </row>
  </sheetData>
  <mergeCells count="2">
    <mergeCell ref="A1:F1"/>
    <mergeCell ref="A2:F2"/>
  </mergeCells>
  <conditionalFormatting sqref="B37:B41">
    <cfRule type="containsText" priority="2" operator="containsText" aboveAverage="0" equalAverage="0" bottom="0" percent="0" rank="0" text="Não avaliado" dxfId="9">
      <formula>NOT(ISERROR(SEARCH("Não avaliado",B37)))</formula>
    </cfRule>
    <cfRule type="containsText" priority="3" operator="containsText" aboveAverage="0" equalAverage="0" bottom="0" percent="0" rank="0" text="Não conforme" dxfId="9">
      <formula>NOT(ISERROR(SEARCH("Não conforme",B37)))</formula>
    </cfRule>
  </conditionalFormatting>
  <conditionalFormatting sqref="B31:B35">
    <cfRule type="containsText" priority="4" operator="containsText" aboveAverage="0" equalAverage="0" bottom="0" percent="0" rank="0" text="Não avaliado" dxfId="9">
      <formula>NOT(ISERROR(SEARCH("Não avaliado",B31)))</formula>
    </cfRule>
    <cfRule type="containsText" priority="5" operator="containsText" aboveAverage="0" equalAverage="0" bottom="0" percent="0" rank="0" text="Não conforme" dxfId="9">
      <formula>NOT(ISERROR(SEARCH("Não conforme",B31)))</formula>
    </cfRule>
  </conditionalFormatting>
  <conditionalFormatting sqref="B21:B29">
    <cfRule type="containsText" priority="6" operator="containsText" aboveAverage="0" equalAverage="0" bottom="0" percent="0" rank="0" text="Não conforme" dxfId="9">
      <formula>NOT(ISERROR(SEARCH("Não conforme",B21)))</formula>
    </cfRule>
    <cfRule type="containsText" priority="7" operator="containsText" aboveAverage="0" equalAverage="0" bottom="0" percent="0" rank="0" text="Não avaliado" dxfId="9">
      <formula>NOT(ISERROR(SEARCH("Não avaliado",B21)))</formula>
    </cfRule>
  </conditionalFormatting>
  <conditionalFormatting sqref="B12:B19">
    <cfRule type="containsText" priority="8" operator="containsText" aboveAverage="0" equalAverage="0" bottom="0" percent="0" rank="0" text="Não avaliado" dxfId="9">
      <formula>NOT(ISERROR(SEARCH("Não avaliado",B12)))</formula>
    </cfRule>
    <cfRule type="containsText" priority="9" operator="containsText" aboveAverage="0" equalAverage="0" bottom="0" percent="0" rank="0" text="Não conforme" dxfId="9">
      <formula>NOT(ISERROR(SEARCH("Não conforme",B12)))</formula>
    </cfRule>
  </conditionalFormatting>
  <conditionalFormatting sqref="B4:B10">
    <cfRule type="containsText" priority="10" operator="containsText" aboveAverage="0" equalAverage="0" bottom="0" percent="0" rank="0" text="Não conforme" dxfId="9">
      <formula>NOT(ISERROR(SEARCH("Não conforme",B4)))</formula>
    </cfRule>
    <cfRule type="containsText" priority="11" operator="containsText" aboveAverage="0" equalAverage="0" bottom="0" percent="0" rank="0" text="Não avaliado" dxfId="9">
      <formula>NOT(ISERROR(SEARCH("Não avaliado",B4)))</formula>
    </cfRule>
  </conditionalFormatting>
  <conditionalFormatting sqref="A2:F2">
    <cfRule type="containsText" priority="12" operator="containsText" aboveAverage="0" equalAverage="0" bottom="0" percent="0" rank="0" text="pendente" dxfId="9">
      <formula>NOT(ISERROR(SEARCH("pendente",A2)))</formula>
    </cfRule>
  </conditionalFormatting>
  <dataValidations count="2">
    <dataValidation allowBlank="true" errorStyle="stop" operator="between" showDropDown="false" showErrorMessage="true" showInputMessage="true" sqref="E4" type="list">
      <formula1>"Fulano,Ciclano"</formula1>
      <formula2>0</formula2>
    </dataValidation>
    <dataValidation allowBlank="false" errorStyle="stop" operator="between" showDropDown="false" showErrorMessage="false" showInputMessage="false" sqref="A1" type="list">
      <formula1>Turmas!$U$2:$U$20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2026-10-15T11:41:29Z</dcterms:created>
  <dc:creator/>
  <dc:description/>
  <dc:language>en-US</dc:language>
  <cp:lastModifiedBy/>
  <dcterms:modified xsi:type="dcterms:W3CDTF">2026-10-15T16:37:32Z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