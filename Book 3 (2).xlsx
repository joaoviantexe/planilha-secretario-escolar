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8D4F291B-53C8-4B4E-AE89-EA1D27FF249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nidade" sheetId="2" r:id="rId1"/>
    <sheet name="Turmas" sheetId="3" r:id="rId2"/>
    <sheet name="BaseDados" sheetId="4" r:id="rId3"/>
    <sheet name="Checklist" sheetId="1" r:id="rId4"/>
  </sheets>
  <definedNames>
    <definedName name="GestorSecretario">Unidade!$B$20:$B$20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4" l="1" a="1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E22" i="1" a="1"/>
  <c r="E23" i="1" a="1"/>
  <c r="E24" i="1" a="1"/>
  <c r="E25" i="1" a="1"/>
  <c r="E26" i="1" a="1"/>
  <c r="E27" i="1" a="1"/>
  <c r="E28" i="1" a="1"/>
  <c r="E29" i="1" a="1"/>
  <c r="E32" i="1" a="1"/>
  <c r="E33" i="1" a="1"/>
  <c r="E34" i="1" a="1"/>
  <c r="E35" i="1" a="1"/>
  <c r="E38" i="1" a="1"/>
  <c r="E39" i="1" a="1"/>
  <c r="E40" i="1" a="1"/>
  <c r="E41" i="1" a="1"/>
  <c r="E37" i="1" a="1"/>
  <c r="E31" i="1" a="1"/>
  <c r="E21" i="1" a="1"/>
  <c r="E13" i="1" a="1"/>
  <c r="E14" i="1" a="1"/>
  <c r="E15" i="1" a="1"/>
  <c r="E16" i="1" a="1"/>
  <c r="E17" i="1" a="1"/>
  <c r="E18" i="1" a="1"/>
  <c r="E19" i="1" a="1"/>
  <c r="E12" i="1" a="1"/>
  <c r="A2" i="1"/>
  <c r="E10" i="1" a="1"/>
  <c r="E9" i="1" a="1"/>
  <c r="E8" i="1" a="1"/>
  <c r="E7" i="1" a="1"/>
  <c r="E6" i="1" a="1"/>
  <c r="E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<sst xmlns="http://schemas.openxmlformats.org/spreadsheetml/2006/main" count="350" uniqueCount="132">
  <si>
    <t>Identificação da Unidade</t>
  </si>
  <si>
    <t>Unidade</t>
  </si>
  <si>
    <t>ESCOLA MUNICIPAL RUY DA SILVEIRA BRITTO</t>
  </si>
  <si>
    <t>Código INEP/MEC</t>
  </si>
  <si>
    <t>Distrito</t>
  </si>
  <si>
    <t>DABEL</t>
  </si>
  <si>
    <t>Bairro</t>
  </si>
  <si>
    <t>Marco</t>
  </si>
  <si>
    <t>Rede/Vinculo</t>
  </si>
  <si>
    <t>Municipal</t>
  </si>
  <si>
    <t>Tipo de Unidade</t>
  </si>
  <si>
    <t>Sede</t>
  </si>
  <si>
    <t>Endereço da Unidade</t>
  </si>
  <si>
    <t>Endereço</t>
  </si>
  <si>
    <t>TRAVESSA DOUTOR ENEAS PINHEIRO</t>
  </si>
  <si>
    <t>Número</t>
  </si>
  <si>
    <t>Complemento</t>
  </si>
  <si>
    <t>ENTRE PERIMETRAL E JOAO PAULO II</t>
  </si>
  <si>
    <t>CEP</t>
  </si>
  <si>
    <t>66095-015</t>
  </si>
  <si>
    <t>Zona</t>
  </si>
  <si>
    <t>URBANA</t>
  </si>
  <si>
    <t>Tipo de Prédio</t>
  </si>
  <si>
    <t>MUNICIPAL</t>
  </si>
  <si>
    <t>Tipo de Contrato</t>
  </si>
  <si>
    <t>PROPRIA</t>
  </si>
  <si>
    <t>Telefone</t>
  </si>
  <si>
    <t>-</t>
  </si>
  <si>
    <t>E-mail</t>
  </si>
  <si>
    <t>ruydasilveirabrito@semec.belem.pa.gov.br</t>
  </si>
  <si>
    <t>Responsáveis da Unidade</t>
  </si>
  <si>
    <t>Diretor</t>
  </si>
  <si>
    <t>ROSEANE CONCEIÇÃO COUTO VOGADO</t>
  </si>
  <si>
    <t>Secretário</t>
  </si>
  <si>
    <t>RONALDO XAVIER DE CARVALHO</t>
  </si>
  <si>
    <t>Ano</t>
  </si>
  <si>
    <t>Rede</t>
  </si>
  <si>
    <t>Código INEP</t>
  </si>
  <si>
    <t>Código Unidade</t>
  </si>
  <si>
    <t>Ensino</t>
  </si>
  <si>
    <t>Série</t>
  </si>
  <si>
    <t>Turno</t>
  </si>
  <si>
    <t>Turma</t>
  </si>
  <si>
    <t>Qt Ocupação Turma</t>
  </si>
  <si>
    <t>Qt Alunos Turma</t>
  </si>
  <si>
    <t>Qt Aluno Não Especial</t>
  </si>
  <si>
    <t>Qt Aluno Especial</t>
  </si>
  <si>
    <t>Qt Ocupação Aluno Especial</t>
  </si>
  <si>
    <t>Qt Vagas Restantes</t>
  </si>
  <si>
    <t>Alunos</t>
  </si>
  <si>
    <t>Nome Geral</t>
  </si>
  <si>
    <t>MARCO</t>
  </si>
  <si>
    <t>ENSINO FUNDAMENTAL</t>
  </si>
  <si>
    <t>CICLO IV  -  1º ANO</t>
  </si>
  <si>
    <t>TARDE</t>
  </si>
  <si>
    <t>C41302</t>
  </si>
  <si>
    <t xml:space="preserve">Relação de Alunos </t>
  </si>
  <si>
    <t>C41301</t>
  </si>
  <si>
    <t>CICLO III  -  2º ANO</t>
  </si>
  <si>
    <t>C32302</t>
  </si>
  <si>
    <t>C32301</t>
  </si>
  <si>
    <t>CICLO III  -  1º ANO</t>
  </si>
  <si>
    <t>C31302</t>
  </si>
  <si>
    <t>C31301</t>
  </si>
  <si>
    <t>CICLO II  -  2º ANO</t>
  </si>
  <si>
    <t>MANHÃ</t>
  </si>
  <si>
    <t>C22102</t>
  </si>
  <si>
    <t>C22101</t>
  </si>
  <si>
    <t>CICLO II  -  1º ANO</t>
  </si>
  <si>
    <t>C21102</t>
  </si>
  <si>
    <t>C21101</t>
  </si>
  <si>
    <t>CICLO I  -  3º ANO</t>
  </si>
  <si>
    <t>C13102</t>
  </si>
  <si>
    <t>C13101</t>
  </si>
  <si>
    <t>CICLO I  -  2º ANO</t>
  </si>
  <si>
    <t>C12102</t>
  </si>
  <si>
    <t>C12101</t>
  </si>
  <si>
    <t>CICLO I  -  1º ANO</t>
  </si>
  <si>
    <t>C11102</t>
  </si>
  <si>
    <t>C11101</t>
  </si>
  <si>
    <t>CICLO IV  -  2º ANO</t>
  </si>
  <si>
    <t>C42302</t>
  </si>
  <si>
    <t>C42301</t>
  </si>
  <si>
    <t>C41303</t>
  </si>
  <si>
    <t>Documento</t>
  </si>
  <si>
    <t>Situação</t>
  </si>
  <si>
    <t>Responsável</t>
  </si>
  <si>
    <t>CICLO II  -  1º ANO | MANHÃ | C21101</t>
  </si>
  <si>
    <t>Checagem de Documentos Institucionais</t>
  </si>
  <si>
    <t>Ultima Atualização</t>
  </si>
  <si>
    <t>Prazo</t>
  </si>
  <si>
    <t>Observação</t>
  </si>
  <si>
    <t>Ato de criação da escola</t>
  </si>
  <si>
    <t>Não avaliado</t>
  </si>
  <si>
    <t>Fulano</t>
  </si>
  <si>
    <t>Recibo do Censo Escolar (Autorização)</t>
  </si>
  <si>
    <t>Ato de autorização, credenciamento ou reconhecimento</t>
  </si>
  <si>
    <t>Regimento Escolar atualizado</t>
  </si>
  <si>
    <t>Projeto Político-Pedagógico (PPP)</t>
  </si>
  <si>
    <t>Calendário Escolar vigente</t>
  </si>
  <si>
    <t>Matriz curricular, inclusive cursos técnicos</t>
  </si>
  <si>
    <t>Checagem de Documentos de Secretaria Escolar</t>
  </si>
  <si>
    <t>Gestor/Secretário</t>
  </si>
  <si>
    <t>Livro/Pasta de Matrícula dos Alunos</t>
  </si>
  <si>
    <t>Livro de Atas — resultados finais, Conselho de Classe, reuniões e outros</t>
  </si>
  <si>
    <t>Livro de Registro de Diplomas e Certificados, quando aplicável</t>
  </si>
  <si>
    <t>Protocolos de entrada e saída de documentos</t>
  </si>
  <si>
    <t>Arquivo ativo e arquivo permanente organizados</t>
  </si>
  <si>
    <t>Relação nominal dos estudantes</t>
  </si>
  <si>
    <t>Correspondências Oficiais</t>
  </si>
  <si>
    <t>Inventário</t>
  </si>
  <si>
    <t>Checagem de Documentos dos Alunos</t>
  </si>
  <si>
    <t>Fichas de matrícula impressas pelo SIGA e assinadas pelo responsável</t>
  </si>
  <si>
    <t>Histórico Escolar</t>
  </si>
  <si>
    <t>Pasta Individual</t>
  </si>
  <si>
    <t>Registro Síntese</t>
  </si>
  <si>
    <t>Declarações de transferência emitidas pelo SIGA</t>
  </si>
  <si>
    <t>Certificados e declarações emitidos</t>
  </si>
  <si>
    <t>Documentos pessoais do aluno e do responsável</t>
  </si>
  <si>
    <t>Ficha de Cancelamento/Transferência de Matrícula</t>
  </si>
  <si>
    <t>Controle de frequência no SIGA</t>
  </si>
  <si>
    <t>Checagem de Documentos dos Servidores</t>
  </si>
  <si>
    <t>Relação atualizada dos profissionais</t>
  </si>
  <si>
    <t>Portarias de lotação ou designação</t>
  </si>
  <si>
    <t>Comprovação da habilitação dos docentes</t>
  </si>
  <si>
    <t>Controle de frequência dos servidores</t>
  </si>
  <si>
    <t>Afastamentos dos servidores — licenças e documentos médicos</t>
  </si>
  <si>
    <t>Checagem de Documentos dos Administrativos</t>
  </si>
  <si>
    <t>Censo Escolar</t>
  </si>
  <si>
    <t>Relatórios estatísticos</t>
  </si>
  <si>
    <t>Correspondências oficiais</t>
  </si>
  <si>
    <t>Livros de 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</si>
</sst>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7"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8A31E-B040-4030-B5C5-C624D7199351}" name="Tabela1" displayName="Tabela1" ref="A1:U20" totalsRowShown="0" headerRowDxfId="36" dataDxfId="35" headerRowBorderDxfId="33" tableBorderDxfId="34" totalsRowBorderDxfId="32">
  <autoFilter ref="A1:U20" xr:uid="{F478A31E-B040-4030-B5C5-C624D7199351}"/>
  <tableColumns count="21">
    <tableColumn id="1" xr3:uid="{91E447AB-72A6-4797-B5BA-6B1D9CF83725}" name="Ano" dataDxfId="31"/>
    <tableColumn id="2" xr3:uid="{E5726CD3-371B-4B40-85E9-3D1B38AE3535}" name="Distrito" dataDxfId="30"/>
    <tableColumn id="3" xr3:uid="{396E7A0C-5640-49D9-AE39-E3688A34F36A}" name="Zona" dataDxfId="29"/>
    <tableColumn id="4" xr3:uid="{30AF32D7-BBF3-4B4F-AA8B-A4C6C577272A}" name="Bairro" dataDxfId="28"/>
    <tableColumn id="5" xr3:uid="{D98BB2F8-B098-4C1D-9AE0-E1E79E4CF681}" name="Tipo de Contrato" dataDxfId="27"/>
    <tableColumn id="6" xr3:uid="{B4F816C0-3CFD-45EB-A3D1-671F82215E0A}" name="Rede" dataDxfId="26"/>
    <tableColumn id="7" xr3:uid="{76D3DD45-D733-4650-AB56-67530787D09C}" name="Código INEP" dataDxfId="25"/>
    <tableColumn id="8" xr3:uid="{BC723A7E-2FE6-4B35-85F8-A341833CB00C}" name="Código Unidade" dataDxfId="24"/>
    <tableColumn id="9" xr3:uid="{6C4991A5-58B0-4DE1-9185-F347D3087FB9}" name="Unidade" dataDxfId="23"/>
    <tableColumn id="10" xr3:uid="{143FFE25-5BE3-4916-943F-A4C37CCAA835}" name="Ensino" dataDxfId="22"/>
    <tableColumn id="11" xr3:uid="{9AD49BC4-074B-4442-9866-990F39797E2C}" name="Série" dataDxfId="21"/>
    <tableColumn id="12" xr3:uid="{9CFE8170-8008-42C6-941A-151463C1AB14}" name="Turno" dataDxfId="20"/>
    <tableColumn id="13" xr3:uid="{820F8A18-1385-411C-BCA7-F80DEEECB21B}" name="Turma" dataDxfId="19"/>
    <tableColumn id="14" xr3:uid="{6F08107F-9843-4522-890B-3344867036A9}" name="Qt Ocupação Turma" dataDxfId="18"/>
    <tableColumn id="15" xr3:uid="{478127A3-643F-4963-A309-F9A1E915FFDC}" name="Qt Alunos Turma" dataDxfId="17"/>
    <tableColumn id="16" xr3:uid="{B2A3741B-18AB-4A1B-BC1C-A4965FEEA740}" name="Qt Aluno Não Especial" dataDxfId="16"/>
    <tableColumn id="17" xr3:uid="{BEE81A9B-6BC3-452C-B0CF-ABFD1B9341D5}" name="Qt Aluno Especial" dataDxfId="15"/>
    <tableColumn id="18" xr3:uid="{C3282D50-3E68-44FD-9E5F-417620F22B68}" name="Qt Ocupação Aluno Especial" dataDxfId="14"/>
    <tableColumn id="19" xr3:uid="{8D2E33BB-751F-4128-8296-18DB755EBA8B}" name="Qt Vagas Restantes" dataDxfId="13"/>
    <tableColumn id="20" xr3:uid="{0CF32812-2A61-42E3-BF88-B5F2066FAAEE}" name="Alunos" dataDxfId="12"/>
    <tableColumn id="21" xr3:uid="{921397F1-9B29-493D-8618-D37EA96FC29E}" name="Nome Geral" dataDxfId="11">
      <calculatedColumnFormula>K2 &amp; " | " &amp; L2 &amp; " | " &amp; M2 &amp; " / " &amp; (COUNTIF(Checklist!$B$4:$B$72, "Não conforme") + COUNTIF(Checklist!$B$4:$B$72, "Não avaliado")) &amp; " itens pendentes"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ydasilveirabrito@semec.belem.pa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7A65-186E-4104-8F78-9B7495296644}">
  <dimension ref="A1:B20"/>
  <sheetViews>
    <sheetView workbookViewId="0">
      <selection activeCell="D17" sqref="D17"/>
    </sheetView>
  </sheetViews>
  <sheetFormatPr defaultRowHeight="15"/>
  <cols>
    <col min="1" max="1" width="20.7109375" customWidth="1"/>
    <col min="2" max="2" width="60.7109375" customWidth="1"/>
  </cols>
  <sheetData>
    <row r="1" spans="1:2">
      <c r="A1" s="32" t="s">
        <v>0</v>
      </c>
      <c r="B1" s="33"/>
    </row>
    <row r="2" spans="1:2">
      <c r="A2" s="11" t="s">
        <v>1</v>
      </c>
      <c r="B2" s="10" t="s">
        <v>2</v>
      </c>
    </row>
    <row r="3" spans="1:2">
      <c r="A3" s="15" t="s">
        <v>3</v>
      </c>
      <c r="B3" s="16">
        <v>15040968</v>
      </c>
    </row>
    <row r="4" spans="1:2">
      <c r="A4" s="11" t="s">
        <v>4</v>
      </c>
      <c r="B4" s="10" t="s">
        <v>5</v>
      </c>
    </row>
    <row r="5" spans="1:2">
      <c r="A5" s="15" t="s">
        <v>6</v>
      </c>
      <c r="B5" s="16" t="s">
        <v>7</v>
      </c>
    </row>
    <row r="6" spans="1:2">
      <c r="A6" s="11" t="s">
        <v>8</v>
      </c>
      <c r="B6" s="10" t="s">
        <v>9</v>
      </c>
    </row>
    <row r="7" spans="1:2">
      <c r="A7" s="15" t="s">
        <v>10</v>
      </c>
      <c r="B7" s="16" t="s">
        <v>11</v>
      </c>
    </row>
    <row r="8" spans="1:2">
      <c r="A8" s="34" t="s">
        <v>12</v>
      </c>
      <c r="B8" s="34"/>
    </row>
    <row r="9" spans="1:2">
      <c r="A9" s="4" t="s">
        <v>13</v>
      </c>
      <c r="B9" s="2" t="s">
        <v>14</v>
      </c>
    </row>
    <row r="10" spans="1:2">
      <c r="A10" s="7" t="s">
        <v>15</v>
      </c>
      <c r="B10" s="8">
        <v>2871</v>
      </c>
    </row>
    <row r="11" spans="1:2">
      <c r="A11" s="4" t="s">
        <v>16</v>
      </c>
      <c r="B11" s="2" t="s">
        <v>17</v>
      </c>
    </row>
    <row r="12" spans="1:2">
      <c r="A12" s="7" t="s">
        <v>18</v>
      </c>
      <c r="B12" s="8" t="s">
        <v>19</v>
      </c>
    </row>
    <row r="13" spans="1:2">
      <c r="A13" s="4" t="s">
        <v>20</v>
      </c>
      <c r="B13" s="2" t="s">
        <v>21</v>
      </c>
    </row>
    <row r="14" spans="1:2">
      <c r="A14" s="7" t="s">
        <v>22</v>
      </c>
      <c r="B14" s="8" t="s">
        <v>23</v>
      </c>
    </row>
    <row r="15" spans="1:2">
      <c r="A15" s="4" t="s">
        <v>24</v>
      </c>
      <c r="B15" s="2" t="s">
        <v>25</v>
      </c>
    </row>
    <row r="16" spans="1:2">
      <c r="A16" s="7" t="s">
        <v>26</v>
      </c>
      <c r="B16" s="8" t="s">
        <v>27</v>
      </c>
    </row>
    <row r="17" spans="1:2">
      <c r="A17" s="4" t="s">
        <v>28</v>
      </c>
      <c r="B17" s="19" t="s">
        <v>29</v>
      </c>
    </row>
    <row r="18" spans="1:2">
      <c r="A18" s="32" t="s">
        <v>30</v>
      </c>
      <c r="B18" s="33"/>
    </row>
    <row r="19" spans="1:2" s="13" customFormat="1" ht="15" customHeight="1">
      <c r="A19" s="14" t="s">
        <v>31</v>
      </c>
      <c r="B19" s="12" t="s">
        <v>32</v>
      </c>
    </row>
    <row r="20" spans="1:2">
      <c r="A20" s="17" t="s">
        <v>33</v>
      </c>
      <c r="B20" s="18" t="s">
        <v>34</v>
      </c>
    </row>
  </sheetData>
  <mergeCells count="3">
    <mergeCell ref="A1:B1"/>
    <mergeCell ref="A8:B8"/>
    <mergeCell ref="A18:B18"/>
  </mergeCells>
  <hyperlinks>
    <hyperlink ref="B17" r:id="rId1" xr:uid="{F94EA78A-3A2B-4AD4-8810-E644F36E4D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6F8C-7784-4634-BF9F-43B773907504}">
  <dimension ref="A1:U20"/>
  <sheetViews>
    <sheetView topLeftCell="O1" workbookViewId="0">
      <selection activeCell="U2" sqref="U2"/>
    </sheetView>
  </sheetViews>
  <sheetFormatPr defaultColWidth="9.140625" defaultRowHeight="15"/>
  <cols>
    <col min="1" max="4" width="10.7109375" customWidth="1"/>
    <col min="5" max="8" width="20.7109375" customWidth="1"/>
    <col min="9" max="9" width="50.7109375" customWidth="1"/>
    <col min="10" max="10" width="25.7109375" customWidth="1"/>
    <col min="11" max="15" width="20.7109375" customWidth="1"/>
    <col min="16" max="16" width="20.85546875" customWidth="1"/>
    <col min="17" max="17" width="20.7109375" customWidth="1"/>
    <col min="18" max="18" width="30.7109375" customWidth="1"/>
    <col min="19" max="20" width="20.7109375" customWidth="1"/>
    <col min="21" max="21" width="50.7109375" customWidth="1"/>
  </cols>
  <sheetData>
    <row r="1" spans="1:21">
      <c r="A1" s="24" t="s">
        <v>35</v>
      </c>
      <c r="B1" s="26" t="s">
        <v>4</v>
      </c>
      <c r="C1" s="26" t="s">
        <v>20</v>
      </c>
      <c r="D1" s="26" t="s">
        <v>6</v>
      </c>
      <c r="E1" s="26" t="s">
        <v>24</v>
      </c>
      <c r="F1" s="26" t="s">
        <v>36</v>
      </c>
      <c r="G1" s="26" t="s">
        <v>37</v>
      </c>
      <c r="H1" s="26" t="s">
        <v>38</v>
      </c>
      <c r="I1" s="26" t="s">
        <v>1</v>
      </c>
      <c r="J1" s="26" t="s">
        <v>39</v>
      </c>
      <c r="K1" s="26" t="s">
        <v>40</v>
      </c>
      <c r="L1" s="26" t="s">
        <v>41</v>
      </c>
      <c r="M1" s="26" t="s">
        <v>42</v>
      </c>
      <c r="N1" s="26" t="s">
        <v>43</v>
      </c>
      <c r="O1" s="26" t="s">
        <v>44</v>
      </c>
      <c r="P1" s="26" t="s">
        <v>45</v>
      </c>
      <c r="Q1" s="26" t="s">
        <v>46</v>
      </c>
      <c r="R1" s="26" t="s">
        <v>47</v>
      </c>
      <c r="S1" s="26" t="s">
        <v>48</v>
      </c>
      <c r="T1" s="26" t="s">
        <v>49</v>
      </c>
      <c r="U1" s="25" t="s">
        <v>50</v>
      </c>
    </row>
    <row r="2" spans="1:21">
      <c r="A2" s="20">
        <v>2026</v>
      </c>
      <c r="B2" s="12" t="s">
        <v>5</v>
      </c>
      <c r="C2" s="12" t="s">
        <v>21</v>
      </c>
      <c r="D2" s="12" t="s">
        <v>51</v>
      </c>
      <c r="E2" s="12"/>
      <c r="F2" s="12" t="s">
        <v>23</v>
      </c>
      <c r="G2" s="12">
        <v>15040968</v>
      </c>
      <c r="H2" s="12">
        <v>36</v>
      </c>
      <c r="I2" s="12" t="s">
        <v>2</v>
      </c>
      <c r="J2" s="12" t="s">
        <v>52</v>
      </c>
      <c r="K2" s="12" t="s">
        <v>53</v>
      </c>
      <c r="L2" s="12" t="s">
        <v>54</v>
      </c>
      <c r="M2" s="12" t="s">
        <v>55</v>
      </c>
      <c r="N2" s="12">
        <v>30</v>
      </c>
      <c r="O2" s="12">
        <v>22</v>
      </c>
      <c r="P2" s="12">
        <v>22</v>
      </c>
      <c r="Q2" s="12">
        <v>0</v>
      </c>
      <c r="R2" s="12">
        <v>0</v>
      </c>
      <c r="S2" s="12">
        <v>8</v>
      </c>
      <c r="T2" s="12" t="s">
        <v>56</v>
      </c>
      <c r="U2" s="22" t="str">
        <f>K2 &amp; " | " &amp; L2 &amp; " | " &amp; M2 &amp; " / " &amp; (COUNTIF(Checklist!$B$4:$B$72, "Não conforme") + COUNTIF(Checklist!$B$4:$B$72, "Não avaliado")) &amp; " itens pendentes"</f>
        <v>CICLO IV  -  1º ANO | TARDE | C41302 / 34 itens pendentes</v>
      </c>
    </row>
    <row r="3" spans="1:21">
      <c r="A3" s="21">
        <v>2026</v>
      </c>
      <c r="B3" s="18" t="s">
        <v>5</v>
      </c>
      <c r="C3" s="18" t="s">
        <v>21</v>
      </c>
      <c r="D3" s="18" t="s">
        <v>51</v>
      </c>
      <c r="E3" s="18"/>
      <c r="F3" s="18" t="s">
        <v>23</v>
      </c>
      <c r="G3" s="18">
        <v>15040968</v>
      </c>
      <c r="H3" s="18">
        <v>36</v>
      </c>
      <c r="I3" s="18" t="s">
        <v>2</v>
      </c>
      <c r="J3" s="18" t="s">
        <v>52</v>
      </c>
      <c r="K3" s="18" t="s">
        <v>53</v>
      </c>
      <c r="L3" s="18" t="s">
        <v>54</v>
      </c>
      <c r="M3" s="18" t="s">
        <v>57</v>
      </c>
      <c r="N3" s="18">
        <v>30</v>
      </c>
      <c r="O3" s="18">
        <v>21</v>
      </c>
      <c r="P3" s="18">
        <v>20</v>
      </c>
      <c r="Q3" s="18">
        <v>1</v>
      </c>
      <c r="R3" s="18">
        <v>1</v>
      </c>
      <c r="S3" s="18">
        <v>9</v>
      </c>
      <c r="T3" s="18" t="s">
        <v>56</v>
      </c>
      <c r="U3" s="23" t="str">
        <f>K3 &amp; " | " &amp; L3 &amp; " | " &amp; M3 &amp; " / " &amp; (COUNTIF(Checklist!$B$4:$B$72, "Não conforme") + COUNTIF(Checklist!$B$4:$B$72, "Não avaliado")) &amp; " itens pendentes"</f>
        <v>CICLO IV  -  1º ANO | TARDE | C41301 / 34 itens pendentes</v>
      </c>
    </row>
    <row r="4" spans="1:21">
      <c r="A4" s="20">
        <v>2026</v>
      </c>
      <c r="B4" s="12" t="s">
        <v>5</v>
      </c>
      <c r="C4" s="12" t="s">
        <v>21</v>
      </c>
      <c r="D4" s="12" t="s">
        <v>51</v>
      </c>
      <c r="E4" s="12"/>
      <c r="F4" s="12" t="s">
        <v>23</v>
      </c>
      <c r="G4" s="12">
        <v>15040968</v>
      </c>
      <c r="H4" s="12">
        <v>36</v>
      </c>
      <c r="I4" s="12" t="s">
        <v>2</v>
      </c>
      <c r="J4" s="12" t="s">
        <v>52</v>
      </c>
      <c r="K4" s="12" t="s">
        <v>58</v>
      </c>
      <c r="L4" s="12" t="s">
        <v>54</v>
      </c>
      <c r="M4" s="12" t="s">
        <v>59</v>
      </c>
      <c r="N4" s="12">
        <v>30</v>
      </c>
      <c r="O4" s="12">
        <v>28</v>
      </c>
      <c r="P4" s="12">
        <v>25</v>
      </c>
      <c r="Q4" s="12">
        <v>3</v>
      </c>
      <c r="R4" s="12">
        <v>3</v>
      </c>
      <c r="S4" s="12">
        <v>2</v>
      </c>
      <c r="T4" s="12" t="s">
        <v>56</v>
      </c>
      <c r="U4" s="22" t="str">
        <f>K4 &amp; " | " &amp; L4 &amp; " | " &amp; M4 &amp; " / " &amp; (COUNTIF(Checklist!$B$4:$B$72, "Não conforme") + COUNTIF(Checklist!$B$4:$B$72, "Não avaliado")) &amp; " itens pendentes"</f>
        <v>CICLO III  -  2º ANO | TARDE | C32302 / 34 itens pendentes</v>
      </c>
    </row>
    <row r="5" spans="1:21">
      <c r="A5" s="21">
        <v>2026</v>
      </c>
      <c r="B5" s="18" t="s">
        <v>5</v>
      </c>
      <c r="C5" s="18" t="s">
        <v>21</v>
      </c>
      <c r="D5" s="18" t="s">
        <v>51</v>
      </c>
      <c r="E5" s="18"/>
      <c r="F5" s="18" t="s">
        <v>23</v>
      </c>
      <c r="G5" s="18">
        <v>15040968</v>
      </c>
      <c r="H5" s="18">
        <v>36</v>
      </c>
      <c r="I5" s="18" t="s">
        <v>2</v>
      </c>
      <c r="J5" s="18" t="s">
        <v>52</v>
      </c>
      <c r="K5" s="18" t="s">
        <v>58</v>
      </c>
      <c r="L5" s="18" t="s">
        <v>54</v>
      </c>
      <c r="M5" s="18" t="s">
        <v>60</v>
      </c>
      <c r="N5" s="18">
        <v>30</v>
      </c>
      <c r="O5" s="18">
        <v>27</v>
      </c>
      <c r="P5" s="18">
        <v>24</v>
      </c>
      <c r="Q5" s="18">
        <v>3</v>
      </c>
      <c r="R5" s="18">
        <v>3</v>
      </c>
      <c r="S5" s="18">
        <v>3</v>
      </c>
      <c r="T5" s="18" t="s">
        <v>56</v>
      </c>
      <c r="U5" s="23" t="str">
        <f>K5 &amp; " | " &amp; L5 &amp; " | " &amp; M5 &amp; " / " &amp; (COUNTIF(Checklist!$B$4:$B$72, "Não conforme") + COUNTIF(Checklist!$B$4:$B$72, "Não avaliado")) &amp; " itens pendentes"</f>
        <v>CICLO III  -  2º ANO | TARDE | C32301 / 34 itens pendentes</v>
      </c>
    </row>
    <row r="6" spans="1:21">
      <c r="A6" s="20">
        <v>2026</v>
      </c>
      <c r="B6" s="12" t="s">
        <v>5</v>
      </c>
      <c r="C6" s="12" t="s">
        <v>21</v>
      </c>
      <c r="D6" s="12" t="s">
        <v>51</v>
      </c>
      <c r="E6" s="12"/>
      <c r="F6" s="12" t="s">
        <v>23</v>
      </c>
      <c r="G6" s="12">
        <v>15040968</v>
      </c>
      <c r="H6" s="12">
        <v>36</v>
      </c>
      <c r="I6" s="12" t="s">
        <v>2</v>
      </c>
      <c r="J6" s="12" t="s">
        <v>52</v>
      </c>
      <c r="K6" s="12" t="s">
        <v>61</v>
      </c>
      <c r="L6" s="12" t="s">
        <v>54</v>
      </c>
      <c r="M6" s="12" t="s">
        <v>62</v>
      </c>
      <c r="N6" s="12">
        <v>30</v>
      </c>
      <c r="O6" s="12">
        <v>26</v>
      </c>
      <c r="P6" s="12">
        <v>23</v>
      </c>
      <c r="Q6" s="12">
        <v>3</v>
      </c>
      <c r="R6" s="12">
        <v>3</v>
      </c>
      <c r="S6" s="12">
        <v>4</v>
      </c>
      <c r="T6" s="12" t="s">
        <v>56</v>
      </c>
      <c r="U6" s="22" t="str">
        <f>K6 &amp; " | " &amp; L6 &amp; " | " &amp; M6 &amp; " / " &amp; (COUNTIF(Checklist!$B$4:$B$72, "Não conforme") + COUNTIF(Checklist!$B$4:$B$72, "Não avaliado")) &amp; " itens pendentes"</f>
        <v>CICLO III  -  1º ANO | TARDE | C31302 / 34 itens pendentes</v>
      </c>
    </row>
    <row r="7" spans="1:21">
      <c r="A7" s="21">
        <v>2026</v>
      </c>
      <c r="B7" s="18" t="s">
        <v>5</v>
      </c>
      <c r="C7" s="18" t="s">
        <v>21</v>
      </c>
      <c r="D7" s="18" t="s">
        <v>51</v>
      </c>
      <c r="E7" s="18"/>
      <c r="F7" s="18" t="s">
        <v>23</v>
      </c>
      <c r="G7" s="18">
        <v>15040968</v>
      </c>
      <c r="H7" s="18">
        <v>36</v>
      </c>
      <c r="I7" s="18" t="s">
        <v>2</v>
      </c>
      <c r="J7" s="18" t="s">
        <v>52</v>
      </c>
      <c r="K7" s="18" t="s">
        <v>61</v>
      </c>
      <c r="L7" s="18" t="s">
        <v>54</v>
      </c>
      <c r="M7" s="18" t="s">
        <v>63</v>
      </c>
      <c r="N7" s="18">
        <v>30</v>
      </c>
      <c r="O7" s="18">
        <v>22</v>
      </c>
      <c r="P7" s="18">
        <v>20</v>
      </c>
      <c r="Q7" s="18">
        <v>2</v>
      </c>
      <c r="R7" s="18">
        <v>2</v>
      </c>
      <c r="S7" s="18">
        <v>8</v>
      </c>
      <c r="T7" s="18" t="s">
        <v>56</v>
      </c>
      <c r="U7" s="23" t="str">
        <f>K7 &amp; " | " &amp; L7 &amp; " | " &amp; M7 &amp; " / " &amp; (COUNTIF(Checklist!$B$4:$B$72, "Não conforme") + COUNTIF(Checklist!$B$4:$B$72, "Não avaliado")) &amp; " itens pendentes"</f>
        <v>CICLO III  -  1º ANO | TARDE | C31301 / 34 itens pendentes</v>
      </c>
    </row>
    <row r="8" spans="1:21">
      <c r="A8" s="20">
        <v>2026</v>
      </c>
      <c r="B8" s="12" t="s">
        <v>5</v>
      </c>
      <c r="C8" s="12" t="s">
        <v>21</v>
      </c>
      <c r="D8" s="12" t="s">
        <v>51</v>
      </c>
      <c r="E8" s="12"/>
      <c r="F8" s="12" t="s">
        <v>23</v>
      </c>
      <c r="G8" s="12">
        <v>15040968</v>
      </c>
      <c r="H8" s="12">
        <v>36</v>
      </c>
      <c r="I8" s="12" t="s">
        <v>2</v>
      </c>
      <c r="J8" s="12" t="s">
        <v>52</v>
      </c>
      <c r="K8" s="12" t="s">
        <v>64</v>
      </c>
      <c r="L8" s="12" t="s">
        <v>65</v>
      </c>
      <c r="M8" s="12" t="s">
        <v>66</v>
      </c>
      <c r="N8" s="12">
        <v>30</v>
      </c>
      <c r="O8" s="12">
        <v>28</v>
      </c>
      <c r="P8" s="12">
        <v>25</v>
      </c>
      <c r="Q8" s="12">
        <v>3</v>
      </c>
      <c r="R8" s="12">
        <v>3</v>
      </c>
      <c r="S8" s="12">
        <v>2</v>
      </c>
      <c r="T8" s="12" t="s">
        <v>56</v>
      </c>
      <c r="U8" s="22" t="str">
        <f>K8 &amp; " | " &amp; L8 &amp; " | " &amp; M8 &amp; " / " &amp; (COUNTIF(Checklist!$B$4:$B$72, "Não conforme") + COUNTIF(Checklist!$B$4:$B$72, "Não avaliado")) &amp; " itens pendentes"</f>
        <v>CICLO II  -  2º ANO | MANHÃ | C22102 / 34 itens pendentes</v>
      </c>
    </row>
    <row r="9" spans="1:21">
      <c r="A9" s="21">
        <v>2026</v>
      </c>
      <c r="B9" s="18" t="s">
        <v>5</v>
      </c>
      <c r="C9" s="18" t="s">
        <v>21</v>
      </c>
      <c r="D9" s="18" t="s">
        <v>51</v>
      </c>
      <c r="E9" s="18"/>
      <c r="F9" s="18" t="s">
        <v>23</v>
      </c>
      <c r="G9" s="18">
        <v>15040968</v>
      </c>
      <c r="H9" s="18">
        <v>36</v>
      </c>
      <c r="I9" s="18" t="s">
        <v>2</v>
      </c>
      <c r="J9" s="18" t="s">
        <v>52</v>
      </c>
      <c r="K9" s="18" t="s">
        <v>64</v>
      </c>
      <c r="L9" s="18" t="s">
        <v>65</v>
      </c>
      <c r="M9" s="18" t="s">
        <v>67</v>
      </c>
      <c r="N9" s="18">
        <v>30</v>
      </c>
      <c r="O9" s="18">
        <v>28</v>
      </c>
      <c r="P9" s="18">
        <v>27</v>
      </c>
      <c r="Q9" s="18">
        <v>1</v>
      </c>
      <c r="R9" s="18">
        <v>1</v>
      </c>
      <c r="S9" s="18">
        <v>2</v>
      </c>
      <c r="T9" s="18" t="s">
        <v>56</v>
      </c>
      <c r="U9" s="23" t="str">
        <f>K9 &amp; " | " &amp; L9 &amp; " | " &amp; M9 &amp; " / " &amp; (COUNTIF(Checklist!$B$4:$B$72, "Não conforme") + COUNTIF(Checklist!$B$4:$B$72, "Não avaliado")) &amp; " itens pendentes"</f>
        <v>CICLO II  -  2º ANO | MANHÃ | C22101 / 34 itens pendentes</v>
      </c>
    </row>
    <row r="10" spans="1:21">
      <c r="A10" s="20">
        <v>2026</v>
      </c>
      <c r="B10" s="12" t="s">
        <v>5</v>
      </c>
      <c r="C10" s="12" t="s">
        <v>21</v>
      </c>
      <c r="D10" s="12" t="s">
        <v>51</v>
      </c>
      <c r="E10" s="12"/>
      <c r="F10" s="12" t="s">
        <v>23</v>
      </c>
      <c r="G10" s="12">
        <v>15040968</v>
      </c>
      <c r="H10" s="12">
        <v>36</v>
      </c>
      <c r="I10" s="12" t="s">
        <v>2</v>
      </c>
      <c r="J10" s="12" t="s">
        <v>52</v>
      </c>
      <c r="K10" s="12" t="s">
        <v>68</v>
      </c>
      <c r="L10" s="12" t="s">
        <v>65</v>
      </c>
      <c r="M10" s="12" t="s">
        <v>69</v>
      </c>
      <c r="N10" s="12">
        <v>30</v>
      </c>
      <c r="O10" s="12">
        <v>25</v>
      </c>
      <c r="P10" s="12">
        <v>23</v>
      </c>
      <c r="Q10" s="12">
        <v>2</v>
      </c>
      <c r="R10" s="12">
        <v>2</v>
      </c>
      <c r="S10" s="12">
        <v>5</v>
      </c>
      <c r="T10" s="12" t="s">
        <v>56</v>
      </c>
      <c r="U10" s="22" t="str">
        <f>K10 &amp; " | " &amp; L10 &amp; " | " &amp; M10 &amp; " / " &amp; (COUNTIF(Checklist!$B$4:$B$72, "Não conforme") + COUNTIF(Checklist!$B$4:$B$72, "Não avaliado")) &amp; " itens pendentes"</f>
        <v>CICLO II  -  1º ANO | MANHÃ | C21102 / 34 itens pendentes</v>
      </c>
    </row>
    <row r="11" spans="1:21">
      <c r="A11" s="21">
        <v>2026</v>
      </c>
      <c r="B11" s="18" t="s">
        <v>5</v>
      </c>
      <c r="C11" s="18" t="s">
        <v>21</v>
      </c>
      <c r="D11" s="18" t="s">
        <v>51</v>
      </c>
      <c r="E11" s="18"/>
      <c r="F11" s="18" t="s">
        <v>23</v>
      </c>
      <c r="G11" s="18">
        <v>15040968</v>
      </c>
      <c r="H11" s="18">
        <v>36</v>
      </c>
      <c r="I11" s="18" t="s">
        <v>2</v>
      </c>
      <c r="J11" s="18" t="s">
        <v>52</v>
      </c>
      <c r="K11" s="18" t="s">
        <v>68</v>
      </c>
      <c r="L11" s="18" t="s">
        <v>65</v>
      </c>
      <c r="M11" s="18" t="s">
        <v>70</v>
      </c>
      <c r="N11" s="18">
        <v>30</v>
      </c>
      <c r="O11" s="18">
        <v>24</v>
      </c>
      <c r="P11" s="18">
        <v>21</v>
      </c>
      <c r="Q11" s="18">
        <v>3</v>
      </c>
      <c r="R11" s="18">
        <v>3</v>
      </c>
      <c r="S11" s="18">
        <v>6</v>
      </c>
      <c r="T11" s="18" t="s">
        <v>56</v>
      </c>
      <c r="U11" s="23" t="str">
        <f>K11 &amp; " | " &amp; L11 &amp; " | " &amp; M11 &amp; " / " &amp; (COUNTIF(Checklist!$B$4:$B$72, "Não conforme") + COUNTIF(Checklist!$B$4:$B$72, "Não avaliado")) &amp; " itens pendentes"</f>
        <v>CICLO II  -  1º ANO | MANHÃ | C21101 / 34 itens pendentes</v>
      </c>
    </row>
    <row r="12" spans="1:21">
      <c r="A12" s="20">
        <v>2026</v>
      </c>
      <c r="B12" s="12" t="s">
        <v>5</v>
      </c>
      <c r="C12" s="12" t="s">
        <v>21</v>
      </c>
      <c r="D12" s="12" t="s">
        <v>51</v>
      </c>
      <c r="E12" s="12"/>
      <c r="F12" s="12" t="s">
        <v>23</v>
      </c>
      <c r="G12" s="12">
        <v>15040968</v>
      </c>
      <c r="H12" s="12">
        <v>36</v>
      </c>
      <c r="I12" s="12" t="s">
        <v>2</v>
      </c>
      <c r="J12" s="12" t="s">
        <v>52</v>
      </c>
      <c r="K12" s="12" t="s">
        <v>71</v>
      </c>
      <c r="L12" s="12" t="s">
        <v>65</v>
      </c>
      <c r="M12" s="12" t="s">
        <v>72</v>
      </c>
      <c r="N12" s="12">
        <v>30</v>
      </c>
      <c r="O12" s="12">
        <v>24</v>
      </c>
      <c r="P12" s="12">
        <v>21</v>
      </c>
      <c r="Q12" s="12">
        <v>3</v>
      </c>
      <c r="R12" s="12">
        <v>3</v>
      </c>
      <c r="S12" s="12">
        <v>6</v>
      </c>
      <c r="T12" s="12" t="s">
        <v>56</v>
      </c>
      <c r="U12" s="22" t="str">
        <f>K12 &amp; " | " &amp; L12 &amp; " | " &amp; M12 &amp; " / " &amp; (COUNTIF(Checklist!$B$4:$B$72, "Não conforme") + COUNTIF(Checklist!$B$4:$B$72, "Não avaliado")) &amp; " itens pendentes"</f>
        <v>CICLO I  -  3º ANO | MANHÃ | C13102 / 34 itens pendentes</v>
      </c>
    </row>
    <row r="13" spans="1:21">
      <c r="A13" s="21">
        <v>2026</v>
      </c>
      <c r="B13" s="18" t="s">
        <v>5</v>
      </c>
      <c r="C13" s="18" t="s">
        <v>21</v>
      </c>
      <c r="D13" s="18" t="s">
        <v>51</v>
      </c>
      <c r="E13" s="18"/>
      <c r="F13" s="18" t="s">
        <v>23</v>
      </c>
      <c r="G13" s="18">
        <v>15040968</v>
      </c>
      <c r="H13" s="18">
        <v>36</v>
      </c>
      <c r="I13" s="18" t="s">
        <v>2</v>
      </c>
      <c r="J13" s="18" t="s">
        <v>52</v>
      </c>
      <c r="K13" s="18" t="s">
        <v>71</v>
      </c>
      <c r="L13" s="18" t="s">
        <v>65</v>
      </c>
      <c r="M13" s="18" t="s">
        <v>73</v>
      </c>
      <c r="N13" s="18">
        <v>30</v>
      </c>
      <c r="O13" s="18">
        <v>25</v>
      </c>
      <c r="P13" s="18">
        <v>22</v>
      </c>
      <c r="Q13" s="18">
        <v>3</v>
      </c>
      <c r="R13" s="18">
        <v>3</v>
      </c>
      <c r="S13" s="18">
        <v>5</v>
      </c>
      <c r="T13" s="18" t="s">
        <v>56</v>
      </c>
      <c r="U13" s="23" t="str">
        <f>K13 &amp; " | " &amp; L13 &amp; " | " &amp; M13 &amp; " / " &amp; (COUNTIF(Checklist!$B$4:$B$72, "Não conforme") + COUNTIF(Checklist!$B$4:$B$72, "Não avaliado")) &amp; " itens pendentes"</f>
        <v>CICLO I  -  3º ANO | MANHÃ | C13101 / 34 itens pendentes</v>
      </c>
    </row>
    <row r="14" spans="1:21">
      <c r="A14" s="20">
        <v>2026</v>
      </c>
      <c r="B14" s="12" t="s">
        <v>5</v>
      </c>
      <c r="C14" s="12" t="s">
        <v>21</v>
      </c>
      <c r="D14" s="12" t="s">
        <v>51</v>
      </c>
      <c r="E14" s="12"/>
      <c r="F14" s="12" t="s">
        <v>23</v>
      </c>
      <c r="G14" s="12">
        <v>15040968</v>
      </c>
      <c r="H14" s="12">
        <v>36</v>
      </c>
      <c r="I14" s="12" t="s">
        <v>2</v>
      </c>
      <c r="J14" s="12" t="s">
        <v>52</v>
      </c>
      <c r="K14" s="12" t="s">
        <v>74</v>
      </c>
      <c r="L14" s="12" t="s">
        <v>65</v>
      </c>
      <c r="M14" s="12" t="s">
        <v>75</v>
      </c>
      <c r="N14" s="12">
        <v>28</v>
      </c>
      <c r="O14" s="12">
        <v>25</v>
      </c>
      <c r="P14" s="12">
        <v>20</v>
      </c>
      <c r="Q14" s="12">
        <v>5</v>
      </c>
      <c r="R14" s="12">
        <v>5</v>
      </c>
      <c r="S14" s="12">
        <v>3</v>
      </c>
      <c r="T14" s="12" t="s">
        <v>56</v>
      </c>
      <c r="U14" s="22" t="str">
        <f>K14 &amp; " | " &amp; L14 &amp; " | " &amp; M14 &amp; " / " &amp; (COUNTIF(Checklist!$B$4:$B$72, "Não conforme") + COUNTIF(Checklist!$B$4:$B$72, "Não avaliado")) &amp; " itens pendentes"</f>
        <v>CICLO I  -  2º ANO | MANHÃ | C12102 / 34 itens pendentes</v>
      </c>
    </row>
    <row r="15" spans="1:21">
      <c r="A15" s="21">
        <v>2026</v>
      </c>
      <c r="B15" s="18" t="s">
        <v>5</v>
      </c>
      <c r="C15" s="18" t="s">
        <v>21</v>
      </c>
      <c r="D15" s="18" t="s">
        <v>51</v>
      </c>
      <c r="E15" s="18"/>
      <c r="F15" s="18" t="s">
        <v>23</v>
      </c>
      <c r="G15" s="18">
        <v>15040968</v>
      </c>
      <c r="H15" s="18">
        <v>36</v>
      </c>
      <c r="I15" s="18" t="s">
        <v>2</v>
      </c>
      <c r="J15" s="18" t="s">
        <v>52</v>
      </c>
      <c r="K15" s="18" t="s">
        <v>74</v>
      </c>
      <c r="L15" s="18" t="s">
        <v>65</v>
      </c>
      <c r="M15" s="18" t="s">
        <v>76</v>
      </c>
      <c r="N15" s="18">
        <v>28</v>
      </c>
      <c r="O15" s="18">
        <v>23</v>
      </c>
      <c r="P15" s="18">
        <v>18</v>
      </c>
      <c r="Q15" s="18">
        <v>5</v>
      </c>
      <c r="R15" s="18">
        <v>5</v>
      </c>
      <c r="S15" s="18">
        <v>5</v>
      </c>
      <c r="T15" s="18" t="s">
        <v>56</v>
      </c>
      <c r="U15" s="23" t="str">
        <f>K15 &amp; " | " &amp; L15 &amp; " | " &amp; M15 &amp; " / " &amp; (COUNTIF(Checklist!$B$4:$B$72, "Não conforme") + COUNTIF(Checklist!$B$4:$B$72, "Não avaliado")) &amp; " itens pendentes"</f>
        <v>CICLO I  -  2º ANO | MANHÃ | C12101 / 34 itens pendentes</v>
      </c>
    </row>
    <row r="16" spans="1:21">
      <c r="A16" s="20">
        <v>2026</v>
      </c>
      <c r="B16" s="12" t="s">
        <v>5</v>
      </c>
      <c r="C16" s="12" t="s">
        <v>21</v>
      </c>
      <c r="D16" s="12" t="s">
        <v>51</v>
      </c>
      <c r="E16" s="12"/>
      <c r="F16" s="12" t="s">
        <v>23</v>
      </c>
      <c r="G16" s="12">
        <v>15040968</v>
      </c>
      <c r="H16" s="12">
        <v>36</v>
      </c>
      <c r="I16" s="12" t="s">
        <v>2</v>
      </c>
      <c r="J16" s="12" t="s">
        <v>52</v>
      </c>
      <c r="K16" s="12" t="s">
        <v>77</v>
      </c>
      <c r="L16" s="12" t="s">
        <v>65</v>
      </c>
      <c r="M16" s="12" t="s">
        <v>78</v>
      </c>
      <c r="N16" s="12">
        <v>25</v>
      </c>
      <c r="O16" s="12">
        <v>21</v>
      </c>
      <c r="P16" s="12">
        <v>18</v>
      </c>
      <c r="Q16" s="12">
        <v>3</v>
      </c>
      <c r="R16" s="12">
        <v>3</v>
      </c>
      <c r="S16" s="12">
        <v>4</v>
      </c>
      <c r="T16" s="12" t="s">
        <v>56</v>
      </c>
      <c r="U16" s="22" t="str">
        <f>K16 &amp; " | " &amp; L16 &amp; " | " &amp; M16 &amp; " / " &amp; (COUNTIF(Checklist!$B$4:$B$72, "Não conforme") + COUNTIF(Checklist!$B$4:$B$72, "Não avaliado")) &amp; " itens pendentes"</f>
        <v>CICLO I  -  1º ANO | MANHÃ | C11102 / 34 itens pendentes</v>
      </c>
    </row>
    <row r="17" spans="1:21">
      <c r="A17" s="21">
        <v>2026</v>
      </c>
      <c r="B17" s="18" t="s">
        <v>5</v>
      </c>
      <c r="C17" s="18" t="s">
        <v>21</v>
      </c>
      <c r="D17" s="18" t="s">
        <v>51</v>
      </c>
      <c r="E17" s="18"/>
      <c r="F17" s="18" t="s">
        <v>23</v>
      </c>
      <c r="G17" s="18">
        <v>15040968</v>
      </c>
      <c r="H17" s="18">
        <v>36</v>
      </c>
      <c r="I17" s="18" t="s">
        <v>2</v>
      </c>
      <c r="J17" s="18" t="s">
        <v>52</v>
      </c>
      <c r="K17" s="18" t="s">
        <v>77</v>
      </c>
      <c r="L17" s="18" t="s">
        <v>65</v>
      </c>
      <c r="M17" s="18" t="s">
        <v>79</v>
      </c>
      <c r="N17" s="18">
        <v>25</v>
      </c>
      <c r="O17" s="18">
        <v>19</v>
      </c>
      <c r="P17" s="18">
        <v>15</v>
      </c>
      <c r="Q17" s="18">
        <v>4</v>
      </c>
      <c r="R17" s="18">
        <v>4</v>
      </c>
      <c r="S17" s="18">
        <v>6</v>
      </c>
      <c r="T17" s="18" t="s">
        <v>56</v>
      </c>
      <c r="U17" s="23" t="str">
        <f>K17 &amp; " | " &amp; L17 &amp; " | " &amp; M17 &amp; " / " &amp; (COUNTIF(Checklist!$B$4:$B$72, "Não conforme") + COUNTIF(Checklist!$B$4:$B$72, "Não avaliado")) &amp; " itens pendentes"</f>
        <v>CICLO I  -  1º ANO | MANHÃ | C11101 / 34 itens pendentes</v>
      </c>
    </row>
    <row r="18" spans="1:21">
      <c r="A18" s="20">
        <v>2026</v>
      </c>
      <c r="B18" s="12" t="s">
        <v>5</v>
      </c>
      <c r="C18" s="12" t="s">
        <v>21</v>
      </c>
      <c r="D18" s="12" t="s">
        <v>51</v>
      </c>
      <c r="E18" s="12"/>
      <c r="F18" s="12" t="s">
        <v>23</v>
      </c>
      <c r="G18" s="12">
        <v>15040968</v>
      </c>
      <c r="H18" s="12">
        <v>36</v>
      </c>
      <c r="I18" s="12" t="s">
        <v>2</v>
      </c>
      <c r="J18" s="12" t="s">
        <v>52</v>
      </c>
      <c r="K18" s="12" t="s">
        <v>80</v>
      </c>
      <c r="L18" s="12" t="s">
        <v>54</v>
      </c>
      <c r="M18" s="12" t="s">
        <v>81</v>
      </c>
      <c r="N18" s="12">
        <v>30</v>
      </c>
      <c r="O18" s="12">
        <v>26</v>
      </c>
      <c r="P18" s="12">
        <v>23</v>
      </c>
      <c r="Q18" s="12">
        <v>3</v>
      </c>
      <c r="R18" s="12">
        <v>3</v>
      </c>
      <c r="S18" s="12">
        <v>4</v>
      </c>
      <c r="T18" s="12" t="s">
        <v>56</v>
      </c>
      <c r="U18" s="22" t="str">
        <f>K18 &amp; " | " &amp; L18 &amp; " | " &amp; M18 &amp; " / " &amp; (COUNTIF(Checklist!$B$4:$B$72, "Não conforme") + COUNTIF(Checklist!$B$4:$B$72, "Não avaliado")) &amp; " itens pendentes"</f>
        <v>CICLO IV  -  2º ANO | TARDE | C42302 / 34 itens pendentes</v>
      </c>
    </row>
    <row r="19" spans="1:21">
      <c r="A19" s="21">
        <v>2026</v>
      </c>
      <c r="B19" s="18" t="s">
        <v>5</v>
      </c>
      <c r="C19" s="18" t="s">
        <v>21</v>
      </c>
      <c r="D19" s="18" t="s">
        <v>51</v>
      </c>
      <c r="E19" s="18"/>
      <c r="F19" s="18" t="s">
        <v>23</v>
      </c>
      <c r="G19" s="18">
        <v>15040968</v>
      </c>
      <c r="H19" s="18">
        <v>36</v>
      </c>
      <c r="I19" s="18" t="s">
        <v>2</v>
      </c>
      <c r="J19" s="18" t="s">
        <v>52</v>
      </c>
      <c r="K19" s="18" t="s">
        <v>80</v>
      </c>
      <c r="L19" s="18" t="s">
        <v>54</v>
      </c>
      <c r="M19" s="18" t="s">
        <v>82</v>
      </c>
      <c r="N19" s="18">
        <v>30</v>
      </c>
      <c r="O19" s="18">
        <v>26</v>
      </c>
      <c r="P19" s="18">
        <v>24</v>
      </c>
      <c r="Q19" s="18">
        <v>2</v>
      </c>
      <c r="R19" s="18">
        <v>2</v>
      </c>
      <c r="S19" s="18">
        <v>4</v>
      </c>
      <c r="T19" s="18" t="s">
        <v>56</v>
      </c>
      <c r="U19" s="23" t="str">
        <f>K19 &amp; " | " &amp; L19 &amp; " | " &amp; M19 &amp; " / " &amp; (COUNTIF(Checklist!$B$4:$B$72, "Não conforme") + COUNTIF(Checklist!$B$4:$B$72, "Não avaliado")) &amp; " itens pendentes"</f>
        <v>CICLO IV  -  2º ANO | TARDE | C42301 / 34 itens pendentes</v>
      </c>
    </row>
    <row r="20" spans="1:21">
      <c r="A20" s="28">
        <v>2026</v>
      </c>
      <c r="B20" s="27" t="s">
        <v>5</v>
      </c>
      <c r="C20" s="27" t="s">
        <v>21</v>
      </c>
      <c r="D20" s="27" t="s">
        <v>51</v>
      </c>
      <c r="E20" s="27"/>
      <c r="F20" s="27" t="s">
        <v>23</v>
      </c>
      <c r="G20" s="27">
        <v>15040968</v>
      </c>
      <c r="H20" s="27">
        <v>36</v>
      </c>
      <c r="I20" s="27" t="s">
        <v>2</v>
      </c>
      <c r="J20" s="27" t="s">
        <v>52</v>
      </c>
      <c r="K20" s="27" t="s">
        <v>53</v>
      </c>
      <c r="L20" s="27" t="s">
        <v>54</v>
      </c>
      <c r="M20" s="27" t="s">
        <v>83</v>
      </c>
      <c r="N20" s="27">
        <v>30</v>
      </c>
      <c r="O20" s="27">
        <v>22</v>
      </c>
      <c r="P20" s="27">
        <v>21</v>
      </c>
      <c r="Q20" s="27">
        <v>1</v>
      </c>
      <c r="R20" s="27">
        <v>1</v>
      </c>
      <c r="S20" s="27">
        <v>8</v>
      </c>
      <c r="T20" s="27" t="s">
        <v>56</v>
      </c>
      <c r="U20" s="29" t="str">
        <f>K20 &amp; " | " &amp; L20 &amp; " | " &amp; M20 &amp; " / " &amp; (COUNTIF(Checklist!$B$4:$B$72, "Não conforme") + COUNTIF(Checklist!$B$4:$B$72, "Não avaliado")) &amp; " itens pendentes"</f>
        <v>CICLO IV  -  1º ANO | TARDE | C41303 / 34 itens pendentes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DD71-F168-4A9D-8C42-368DFE851E93}">
  <dimension ref="A1:D2"/>
  <sheetViews>
    <sheetView tabSelected="1" workbookViewId="0">
      <selection activeCell="A2" sqref="A2:A54"/>
    </sheetView>
  </sheetViews>
  <sheetFormatPr defaultRowHeight="15"/>
  <cols>
    <col min="1" max="4" width="20.7109375" customWidth="1"/>
  </cols>
  <sheetData>
    <row r="1" spans="1:4">
      <c r="A1" t="s">
        <v>42</v>
      </c>
      <c r="B1" t="s">
        <v>84</v>
      </c>
      <c r="C1" t="s">
        <v>85</v>
      </c>
      <c r="D1" t="s">
        <v>86</v>
      </c>
    </row>
    <row r="2" spans="1:4">
      <c r="A2" t="e" cm="1">
        <f t="array" aca="1" ref="A2" ca="1">MATRIZPARACOLUNA(IF(TRANSPÔR(_xlfn._xlws.FILTER(Checklist!$A$4:$A$41, Checklist!$B$4:$B$41="Não avaliado"))&lt;&gt;"", Turmas!M2:M20), 3)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selection sqref="A1:F1"/>
    </sheetView>
  </sheetViews>
  <sheetFormatPr defaultRowHeight="15"/>
  <cols>
    <col min="1" max="1" width="60.7109375" style="3" customWidth="1"/>
    <col min="2" max="2" width="15.7109375" style="3" customWidth="1"/>
    <col min="3" max="3" width="20.7109375" style="3" customWidth="1"/>
    <col min="4" max="4" width="10.7109375" style="3" customWidth="1"/>
    <col min="5" max="5" width="40.7109375" style="3" customWidth="1"/>
    <col min="6" max="6" width="30.7109375" style="3" customWidth="1"/>
  </cols>
  <sheetData>
    <row r="1" spans="1:6">
      <c r="A1" s="31" t="s">
        <v>87</v>
      </c>
      <c r="B1" s="31"/>
      <c r="C1" s="31"/>
      <c r="D1" s="31"/>
      <c r="E1" s="31"/>
      <c r="F1" s="31"/>
    </row>
    <row r="2" spans="1:6" ht="21">
      <c r="A2" s="30" t="str">
        <f>IF((COUNTIF(B4:B72, "Não conforme") + COUNTIF(B4:B72, "Não avaliado")) &gt; 0, (COUNTIF(B4:B72, "Não conforme") + COUNTIF(B4:B72, "Não avaliado")) &amp; " itens pendentes", "Checklist Conforme")</f>
        <v>34 itens pendentes</v>
      </c>
      <c r="B2" s="30"/>
      <c r="C2" s="30"/>
      <c r="D2" s="30"/>
      <c r="E2" s="30"/>
      <c r="F2" s="30"/>
    </row>
    <row r="3" spans="1:6">
      <c r="A3" s="1" t="s">
        <v>88</v>
      </c>
      <c r="B3" s="1" t="s">
        <v>85</v>
      </c>
      <c r="C3" s="1" t="s">
        <v>89</v>
      </c>
      <c r="D3" s="1" t="s">
        <v>90</v>
      </c>
      <c r="E3" s="1" t="s">
        <v>86</v>
      </c>
      <c r="F3" s="1" t="s">
        <v>91</v>
      </c>
    </row>
    <row r="4" spans="1:6">
      <c r="A4" s="4" t="s">
        <v>92</v>
      </c>
      <c r="B4" s="4" t="s">
        <v>93</v>
      </c>
      <c r="C4" s="4"/>
      <c r="D4" s="4"/>
      <c r="E4" s="2" t="s">
        <v>94</v>
      </c>
      <c r="F4" s="4"/>
    </row>
    <row r="5" spans="1:6">
      <c r="A5" s="7" t="s">
        <v>95</v>
      </c>
      <c r="B5" s="7" t="s">
        <v>93</v>
      </c>
      <c r="C5" s="8"/>
      <c r="D5" s="8"/>
      <c r="E5" s="8" t="str" cm="1">
        <f t="array" ref="E5">GestorSecretario</f>
        <v>RONALDO XAVIER DE CARVALHO</v>
      </c>
      <c r="F5" s="8"/>
    </row>
    <row r="6" spans="1:6">
      <c r="A6" s="5" t="s">
        <v>96</v>
      </c>
      <c r="B6" s="4" t="s">
        <v>93</v>
      </c>
      <c r="C6" s="4"/>
      <c r="D6" s="4"/>
      <c r="E6" s="2" t="str" cm="1">
        <f t="array" ref="E6">GestorSecretario</f>
        <v>RONALDO XAVIER DE CARVALHO</v>
      </c>
      <c r="F6" s="2"/>
    </row>
    <row r="7" spans="1:6">
      <c r="A7" s="7" t="s">
        <v>97</v>
      </c>
      <c r="B7" s="7" t="s">
        <v>93</v>
      </c>
      <c r="C7" s="7"/>
      <c r="D7" s="7"/>
      <c r="E7" s="8" t="str" cm="1">
        <f t="array" ref="E7">GestorSecretario</f>
        <v>RONALDO XAVIER DE CARVALHO</v>
      </c>
      <c r="F7" s="8"/>
    </row>
    <row r="8" spans="1:6">
      <c r="A8" s="4" t="s">
        <v>98</v>
      </c>
      <c r="B8" s="4" t="s">
        <v>93</v>
      </c>
      <c r="C8" s="4"/>
      <c r="D8" s="4"/>
      <c r="E8" s="2" t="str" cm="1">
        <f t="array" ref="E8">GestorSecretario</f>
        <v>RONALDO XAVIER DE CARVALHO</v>
      </c>
      <c r="F8" s="2"/>
    </row>
    <row r="9" spans="1:6">
      <c r="A9" s="7" t="s">
        <v>99</v>
      </c>
      <c r="B9" s="7" t="s">
        <v>93</v>
      </c>
      <c r="C9" s="7"/>
      <c r="D9" s="7"/>
      <c r="E9" s="8" t="str" cm="1">
        <f t="array" ref="E9">GestorSecretario</f>
        <v>RONALDO XAVIER DE CARVALHO</v>
      </c>
      <c r="F9" s="8"/>
    </row>
    <row r="10" spans="1:6">
      <c r="A10" s="4" t="s">
        <v>100</v>
      </c>
      <c r="B10" s="4" t="s">
        <v>93</v>
      </c>
      <c r="C10" s="4"/>
      <c r="D10" s="4"/>
      <c r="E10" s="2" t="str" cm="1">
        <f t="array" ref="E10">GestorSecretario</f>
        <v>RONALDO XAVIER DE CARVALHO</v>
      </c>
      <c r="F10" s="2"/>
    </row>
    <row r="11" spans="1:6">
      <c r="A11" s="1" t="s">
        <v>101</v>
      </c>
      <c r="B11" s="1" t="s">
        <v>85</v>
      </c>
      <c r="C11" s="1" t="s">
        <v>89</v>
      </c>
      <c r="D11" s="1" t="s">
        <v>90</v>
      </c>
      <c r="E11" s="1" t="s">
        <v>102</v>
      </c>
      <c r="F11" s="1" t="s">
        <v>91</v>
      </c>
    </row>
    <row r="12" spans="1:6">
      <c r="A12" s="4" t="s">
        <v>103</v>
      </c>
      <c r="B12" s="4" t="s">
        <v>93</v>
      </c>
      <c r="C12" s="2"/>
      <c r="D12" s="2"/>
      <c r="E12" s="2" t="str" cm="1">
        <f t="array" ref="E12">GestorSecretario</f>
        <v>RONALDO XAVIER DE CARVALHO</v>
      </c>
      <c r="F12" s="2"/>
    </row>
    <row r="13" spans="1:6">
      <c r="A13" s="7" t="s">
        <v>104</v>
      </c>
      <c r="B13" s="7" t="s">
        <v>93</v>
      </c>
      <c r="C13" s="8"/>
      <c r="D13" s="8"/>
      <c r="E13" s="8" t="str" cm="1">
        <f t="array" ref="E13">GestorSecretario</f>
        <v>RONALDO XAVIER DE CARVALHO</v>
      </c>
      <c r="F13" s="8"/>
    </row>
    <row r="14" spans="1:6">
      <c r="A14" s="4" t="s">
        <v>105</v>
      </c>
      <c r="B14" s="4" t="s">
        <v>93</v>
      </c>
      <c r="C14" s="2"/>
      <c r="D14" s="2"/>
      <c r="E14" s="2" t="str" cm="1">
        <f t="array" ref="E14">GestorSecretario</f>
        <v>RONALDO XAVIER DE CARVALHO</v>
      </c>
      <c r="F14" s="2"/>
    </row>
    <row r="15" spans="1:6">
      <c r="A15" s="7" t="s">
        <v>106</v>
      </c>
      <c r="B15" s="7" t="s">
        <v>93</v>
      </c>
      <c r="C15" s="8"/>
      <c r="D15" s="8"/>
      <c r="E15" s="8" t="str" cm="1">
        <f t="array" ref="E15">GestorSecretario</f>
        <v>RONALDO XAVIER DE CARVALHO</v>
      </c>
      <c r="F15" s="8"/>
    </row>
    <row r="16" spans="1:6">
      <c r="A16" s="4" t="s">
        <v>107</v>
      </c>
      <c r="B16" s="4" t="s">
        <v>93</v>
      </c>
      <c r="C16" s="2"/>
      <c r="D16" s="2"/>
      <c r="E16" s="2" t="str" cm="1">
        <f t="array" ref="E16">GestorSecretario</f>
        <v>RONALDO XAVIER DE CARVALHO</v>
      </c>
      <c r="F16" s="2"/>
    </row>
    <row r="17" spans="1:6">
      <c r="A17" s="7" t="s">
        <v>108</v>
      </c>
      <c r="B17" s="7" t="s">
        <v>93</v>
      </c>
      <c r="C17" s="8"/>
      <c r="D17" s="8"/>
      <c r="E17" s="8" t="str" cm="1">
        <f t="array" ref="E17">GestorSecretario</f>
        <v>RONALDO XAVIER DE CARVALHO</v>
      </c>
      <c r="F17" s="8"/>
    </row>
    <row r="18" spans="1:6">
      <c r="A18" s="4" t="s">
        <v>109</v>
      </c>
      <c r="B18" s="4" t="s">
        <v>93</v>
      </c>
      <c r="C18" s="2"/>
      <c r="D18" s="2"/>
      <c r="E18" s="2" t="str" cm="1">
        <f t="array" ref="E18">GestorSecretario</f>
        <v>RONALDO XAVIER DE CARVALHO</v>
      </c>
      <c r="F18" s="2"/>
    </row>
    <row r="19" spans="1:6">
      <c r="A19" s="7" t="s">
        <v>110</v>
      </c>
      <c r="B19" s="7" t="s">
        <v>93</v>
      </c>
      <c r="C19" s="8"/>
      <c r="D19" s="8"/>
      <c r="E19" s="8" t="str" cm="1">
        <f t="array" ref="E19">GestorSecretario</f>
        <v>RONALDO XAVIER DE CARVALHO</v>
      </c>
      <c r="F19" s="8"/>
    </row>
    <row r="20" spans="1:6">
      <c r="A20" s="1" t="s">
        <v>111</v>
      </c>
      <c r="B20" s="1" t="s">
        <v>85</v>
      </c>
      <c r="C20" s="1" t="s">
        <v>89</v>
      </c>
      <c r="D20" s="1" t="s">
        <v>90</v>
      </c>
      <c r="E20" s="1" t="s">
        <v>102</v>
      </c>
      <c r="F20" s="1" t="s">
        <v>91</v>
      </c>
    </row>
    <row r="21" spans="1:6">
      <c r="A21" s="4" t="s">
        <v>112</v>
      </c>
      <c r="B21" s="4" t="s">
        <v>93</v>
      </c>
      <c r="C21" s="2"/>
      <c r="D21" s="2"/>
      <c r="E21" s="2" t="str" cm="1">
        <f t="array" ref="E21">GestorSecretario</f>
        <v>RONALDO XAVIER DE CARVALHO</v>
      </c>
      <c r="F21" s="2"/>
    </row>
    <row r="22" spans="1:6">
      <c r="A22" s="7" t="s">
        <v>113</v>
      </c>
      <c r="B22" s="7" t="s">
        <v>93</v>
      </c>
      <c r="C22" s="8"/>
      <c r="D22" s="8"/>
      <c r="E22" s="8" t="str" cm="1">
        <f t="array" ref="E22">GestorSecretario</f>
        <v>RONALDO XAVIER DE CARVALHO</v>
      </c>
      <c r="F22" s="8"/>
    </row>
    <row r="23" spans="1:6">
      <c r="A23" s="4" t="s">
        <v>114</v>
      </c>
      <c r="B23" s="4" t="s">
        <v>93</v>
      </c>
      <c r="C23" s="2"/>
      <c r="D23" s="2"/>
      <c r="E23" s="2" t="str" cm="1">
        <f t="array" ref="E23">GestorSecretario</f>
        <v>RONALDO XAVIER DE CARVALHO</v>
      </c>
      <c r="F23" s="2"/>
    </row>
    <row r="24" spans="1:6">
      <c r="A24" s="7" t="s">
        <v>115</v>
      </c>
      <c r="B24" s="7" t="s">
        <v>93</v>
      </c>
      <c r="C24" s="8"/>
      <c r="D24" s="8"/>
      <c r="E24" s="8" t="str" cm="1">
        <f t="array" ref="E24">GestorSecretario</f>
        <v>RONALDO XAVIER DE CARVALHO</v>
      </c>
      <c r="F24" s="8"/>
    </row>
    <row r="25" spans="1:6">
      <c r="A25" s="4" t="s">
        <v>116</v>
      </c>
      <c r="B25" s="4" t="s">
        <v>93</v>
      </c>
      <c r="C25" s="2"/>
      <c r="D25" s="2"/>
      <c r="E25" s="2" t="str" cm="1">
        <f t="array" ref="E25">GestorSecretario</f>
        <v>RONALDO XAVIER DE CARVALHO</v>
      </c>
      <c r="F25" s="2"/>
    </row>
    <row r="26" spans="1:6">
      <c r="A26" s="7" t="s">
        <v>117</v>
      </c>
      <c r="B26" s="7" t="s">
        <v>93</v>
      </c>
      <c r="C26" s="8"/>
      <c r="D26" s="8"/>
      <c r="E26" s="8" t="str" cm="1">
        <f t="array" ref="E26">GestorSecretario</f>
        <v>RONALDO XAVIER DE CARVALHO</v>
      </c>
      <c r="F26" s="8"/>
    </row>
    <row r="27" spans="1:6">
      <c r="A27" s="4" t="s">
        <v>118</v>
      </c>
      <c r="B27" s="4" t="s">
        <v>93</v>
      </c>
      <c r="C27" s="2"/>
      <c r="D27" s="2"/>
      <c r="E27" s="2" t="str" cm="1">
        <f t="array" ref="E27">GestorSecretario</f>
        <v>RONALDO XAVIER DE CARVALHO</v>
      </c>
      <c r="F27" s="2"/>
    </row>
    <row r="28" spans="1:6">
      <c r="A28" s="7" t="s">
        <v>119</v>
      </c>
      <c r="B28" s="7" t="s">
        <v>93</v>
      </c>
      <c r="C28" s="8"/>
      <c r="D28" s="8"/>
      <c r="E28" s="8" t="str" cm="1">
        <f t="array" ref="E28">GestorSecretario</f>
        <v>RONALDO XAVIER DE CARVALHO</v>
      </c>
      <c r="F28" s="8"/>
    </row>
    <row r="29" spans="1:6">
      <c r="A29" s="4" t="s">
        <v>120</v>
      </c>
      <c r="B29" s="9" t="s">
        <v>93</v>
      </c>
      <c r="C29" s="2"/>
      <c r="D29" s="2"/>
      <c r="E29" s="2" t="str" cm="1">
        <f t="array" ref="E29">GestorSecretario</f>
        <v>RONALDO XAVIER DE CARVALHO</v>
      </c>
      <c r="F29" s="2"/>
    </row>
    <row r="30" spans="1:6">
      <c r="A30" s="1" t="s">
        <v>121</v>
      </c>
      <c r="B30" s="1" t="s">
        <v>85</v>
      </c>
      <c r="C30" s="1" t="s">
        <v>89</v>
      </c>
      <c r="D30" s="1" t="s">
        <v>90</v>
      </c>
      <c r="E30" s="1" t="s">
        <v>102</v>
      </c>
      <c r="F30" s="1" t="s">
        <v>91</v>
      </c>
    </row>
    <row r="31" spans="1:6">
      <c r="A31" s="4" t="s">
        <v>122</v>
      </c>
      <c r="B31" s="4" t="s">
        <v>93</v>
      </c>
      <c r="C31" s="2"/>
      <c r="D31" s="2"/>
      <c r="E31" s="2" t="str" cm="1">
        <f t="array" ref="E31">GestorSecretario</f>
        <v>RONALDO XAVIER DE CARVALHO</v>
      </c>
      <c r="F31" s="2"/>
    </row>
    <row r="32" spans="1:6">
      <c r="A32" s="7" t="s">
        <v>123</v>
      </c>
      <c r="B32" s="7" t="s">
        <v>93</v>
      </c>
      <c r="C32" s="8"/>
      <c r="D32" s="8"/>
      <c r="E32" s="8" t="str" cm="1">
        <f t="array" ref="E32">GestorSecretario</f>
        <v>RONALDO XAVIER DE CARVALHO</v>
      </c>
      <c r="F32" s="8"/>
    </row>
    <row r="33" spans="1:6">
      <c r="A33" s="4" t="s">
        <v>124</v>
      </c>
      <c r="B33" s="4" t="s">
        <v>93</v>
      </c>
      <c r="C33" s="2"/>
      <c r="D33" s="2"/>
      <c r="E33" s="2" t="str" cm="1">
        <f t="array" ref="E33">GestorSecretario</f>
        <v>RONALDO XAVIER DE CARVALHO</v>
      </c>
      <c r="F33" s="2"/>
    </row>
    <row r="34" spans="1:6">
      <c r="A34" s="7" t="s">
        <v>125</v>
      </c>
      <c r="B34" s="7" t="s">
        <v>93</v>
      </c>
      <c r="C34" s="8"/>
      <c r="D34" s="8"/>
      <c r="E34" s="8" t="str" cm="1">
        <f t="array" ref="E34">GestorSecretario</f>
        <v>RONALDO XAVIER DE CARVALHO</v>
      </c>
      <c r="F34" s="8"/>
    </row>
    <row r="35" spans="1:6">
      <c r="A35" s="4" t="s">
        <v>126</v>
      </c>
      <c r="B35" s="4" t="s">
        <v>93</v>
      </c>
      <c r="C35" s="2"/>
      <c r="D35" s="2"/>
      <c r="E35" s="2" t="str" cm="1">
        <f t="array" ref="E35">GestorSecretario</f>
        <v>RONALDO XAVIER DE CARVALHO</v>
      </c>
      <c r="F35" s="2"/>
    </row>
    <row r="36" spans="1:6">
      <c r="A36" s="1" t="s">
        <v>127</v>
      </c>
      <c r="B36" s="1" t="s">
        <v>85</v>
      </c>
      <c r="C36" s="1" t="s">
        <v>89</v>
      </c>
      <c r="D36" s="1" t="s">
        <v>90</v>
      </c>
      <c r="E36" s="1" t="s">
        <v>102</v>
      </c>
      <c r="F36" s="1" t="s">
        <v>91</v>
      </c>
    </row>
    <row r="37" spans="1:6">
      <c r="A37" s="4" t="s">
        <v>128</v>
      </c>
      <c r="B37" s="4" t="s">
        <v>93</v>
      </c>
      <c r="C37" s="2"/>
      <c r="D37" s="2"/>
      <c r="E37" s="2" t="str" cm="1">
        <f t="array" ref="E37">GestorSecretario</f>
        <v>RONALDO XAVIER DE CARVALHO</v>
      </c>
      <c r="F37" s="2"/>
    </row>
    <row r="38" spans="1:6">
      <c r="A38" s="7" t="s">
        <v>108</v>
      </c>
      <c r="B38" s="7" t="s">
        <v>93</v>
      </c>
      <c r="C38" s="8"/>
      <c r="D38" s="8"/>
      <c r="E38" s="8" t="str" cm="1">
        <f t="array" ref="E38">GestorSecretario</f>
        <v>RONALDO XAVIER DE CARVALHO</v>
      </c>
      <c r="F38" s="8"/>
    </row>
    <row r="39" spans="1:6">
      <c r="A39" s="4" t="s">
        <v>129</v>
      </c>
      <c r="B39" s="4" t="s">
        <v>93</v>
      </c>
      <c r="C39" s="2"/>
      <c r="D39" s="2"/>
      <c r="E39" s="2" t="str" cm="1">
        <f t="array" ref="E39">GestorSecretario</f>
        <v>RONALDO XAVIER DE CARVALHO</v>
      </c>
      <c r="F39" s="2"/>
    </row>
    <row r="40" spans="1:6">
      <c r="A40" s="7" t="s">
        <v>130</v>
      </c>
      <c r="B40" s="7" t="s">
        <v>93</v>
      </c>
      <c r="C40" s="8"/>
      <c r="D40" s="8"/>
      <c r="E40" s="8" t="str" cm="1">
        <f t="array" ref="E40">GestorSecretario</f>
        <v>RONALDO XAVIER DE CARVALHO</v>
      </c>
      <c r="F40" s="8"/>
    </row>
    <row r="41" spans="1:6">
      <c r="A41" s="4" t="s">
        <v>131</v>
      </c>
      <c r="B41" s="4" t="s">
        <v>93</v>
      </c>
      <c r="C41" s="2"/>
      <c r="D41" s="2"/>
      <c r="E41" s="2" t="str" cm="1">
        <f t="array" ref="E41">GestorSecretario</f>
        <v>RONALDO XAVIER DE CARVALHO</v>
      </c>
      <c r="F41" s="2"/>
    </row>
    <row r="42" spans="1:6">
      <c r="B42" s="6"/>
    </row>
  </sheetData>
  <mergeCells count="2">
    <mergeCell ref="A2:F2"/>
    <mergeCell ref="A1:F1"/>
  </mergeCells>
  <conditionalFormatting sqref="A2:F2">
    <cfRule type="containsText" dxfId="10" priority="25" operator="containsText" text="pendente">
      <formula>NOT(ISERROR(SEARCH("pendente",A2)))</formula>
    </cfRule>
  </conditionalFormatting>
  <conditionalFormatting sqref="B4:B10">
    <cfRule type="containsText" dxfId="9" priority="14" operator="containsText" text="Não avaliado">
      <formula>NOT(ISERROR(SEARCH("Não avaliado",B4)))</formula>
    </cfRule>
  </conditionalFormatting>
  <conditionalFormatting sqref="B12:B19">
    <cfRule type="containsText" dxfId="8" priority="13" operator="containsText" text="Não conforme">
      <formula>NOT(ISERROR(SEARCH("Não conforme",B12)))</formula>
    </cfRule>
  </conditionalFormatting>
  <conditionalFormatting sqref="B4:B10">
    <cfRule type="containsText" dxfId="7" priority="12" operator="containsText" text="Não conforme">
      <formula>NOT(ISERROR(SEARCH("Não conforme",B4)))</formula>
    </cfRule>
  </conditionalFormatting>
  <conditionalFormatting sqref="B12:B19">
    <cfRule type="containsText" dxfId="6" priority="11" operator="containsText" text="Não avaliado">
      <formula>NOT(ISERROR(SEARCH("Não avaliado",B12)))</formula>
    </cfRule>
  </conditionalFormatting>
  <conditionalFormatting sqref="B21:B29">
    <cfRule type="containsText" dxfId="5" priority="10" operator="containsText" text="Não avaliado">
      <formula>NOT(ISERROR(SEARCH("Não avaliado",B21)))</formula>
    </cfRule>
  </conditionalFormatting>
  <conditionalFormatting sqref="B21:B29">
    <cfRule type="containsText" dxfId="4" priority="9" operator="containsText" text="Não conforme">
      <formula>NOT(ISERROR(SEARCH("Não conforme",B21)))</formula>
    </cfRule>
  </conditionalFormatting>
  <conditionalFormatting sqref="B31:B35">
    <cfRule type="containsText" dxfId="3" priority="8" operator="containsText" text="Não conforme">
      <formula>NOT(ISERROR(SEARCH("Não conforme",B31)))</formula>
    </cfRule>
  </conditionalFormatting>
  <conditionalFormatting sqref="B31:B35">
    <cfRule type="containsText" dxfId="2" priority="7" operator="containsText" text="Não avaliado">
      <formula>NOT(ISERROR(SEARCH("Não avaliado",B31)))</formula>
    </cfRule>
  </conditionalFormatting>
  <conditionalFormatting sqref="B37:B41">
    <cfRule type="containsText" dxfId="1" priority="6" operator="containsText" text="Não conforme">
      <formula>NOT(ISERROR(SEARCH("Não conforme",B37)))</formula>
    </cfRule>
  </conditionalFormatting>
  <conditionalFormatting sqref="B37:B41">
    <cfRule type="containsText" dxfId="0" priority="5" operator="containsText" text="Não avaliado">
      <formula>NOT(ISERROR(SEARCH("Não avaliado",B37)))</formula>
    </cfRule>
  </conditionalFormatting>
  <dataValidations count="3">
    <dataValidation type="list" allowBlank="1" showInputMessage="1" showErrorMessage="1" sqref="B21:B29 B12:B19 B31:B35 B37:B41 B4:B10" xr:uid="{04A68B39-22DF-4F0C-BE7B-F212F50ABE92}">
      <formula1>"Conforme, Não conforme, Não se aplica, Não avaliado"</formula1>
    </dataValidation>
    <dataValidation allowBlank="1" showInputMessage="1" showErrorMessage="1" sqref="F4 B42" xr:uid="{8B507B26-C8CF-46DA-8B90-13E860B0BA54}"/>
    <dataValidation type="list" allowBlank="1" showInputMessage="1" showErrorMessage="1" sqref="E4" xr:uid="{40FB03D4-998A-436E-87A0-F5AF514F39F6}">
      <formula1>"Fulano, Ciclano"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74DC13-118F-41A5-879F-DA8C158C4FA0}">
          <x14:formula1>
            <xm:f>Turmas!U2:U20</xm:f>
          </x14:formula1>
          <xm:sqref>A1</xm:sqref>
        </x14:dataValidation>
        <x14:dataValidation type="list" allowBlank="1" showInputMessage="1" showErrorMessage="1" xr:uid="{F73DC57D-E94C-4544-BADC-2CB3ABD9D1A9}">
          <x14:formula1>
            <xm:f>Turmas!V2:V20</xm:f>
          </x14:formula1>
          <xm:sqref>C1:F1</xm:sqref>
        </x14:dataValidation>
        <x14:dataValidation type="list" allowBlank="1" showInputMessage="1" showErrorMessage="1" xr:uid="{452D5875-3B2E-4CAD-9C50-8FB625D7BB58}">
          <x14:formula1>
            <xm:f>Turmas!#REF!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2026-10-15T11:41:29Z</dcterms:created>
  <dcterms:modified xsi:type="dcterms:W3CDTF">2026-10-15T15:43:50Z</dcterms:modified>
  <cp:category/>
  <cp:contentStatus/>
</cp:coreProperties>
</file>