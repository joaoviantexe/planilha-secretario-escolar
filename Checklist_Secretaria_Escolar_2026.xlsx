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2" autoFilterDateGrouping="1"/>
  </bookViews>
  <sheets>
    <sheet xmlns:r="http://schemas.openxmlformats.org/officeDocument/2006/relationships" name="Unidade" sheetId="1" state="visible" r:id="rId1"/>
    <sheet xmlns:r="http://schemas.openxmlformats.org/officeDocument/2006/relationships" name="Turmas" sheetId="2" state="visible" r:id="rId2"/>
    <sheet xmlns:r="http://schemas.openxmlformats.org/officeDocument/2006/relationships" name="Checklist - C11101" sheetId="3" state="visible" r:id="rId3"/>
    <sheet xmlns:r="http://schemas.openxmlformats.org/officeDocument/2006/relationships" name="Checklist - C11102" sheetId="4" state="visible" r:id="rId4"/>
    <sheet xmlns:r="http://schemas.openxmlformats.org/officeDocument/2006/relationships" name="Checklist - C12101" sheetId="5" state="visible" r:id="rId5"/>
    <sheet xmlns:r="http://schemas.openxmlformats.org/officeDocument/2006/relationships" name="Checklist - C12102" sheetId="6" state="visible" r:id="rId6"/>
    <sheet xmlns:r="http://schemas.openxmlformats.org/officeDocument/2006/relationships" name="Checklist - C13101" sheetId="7" state="visible" r:id="rId7"/>
    <sheet xmlns:r="http://schemas.openxmlformats.org/officeDocument/2006/relationships" name="Checklist - C13102" sheetId="8" state="visible" r:id="rId8"/>
    <sheet xmlns:r="http://schemas.openxmlformats.org/officeDocument/2006/relationships" name="Checklist - C21101" sheetId="9" state="visible" r:id="rId9"/>
    <sheet xmlns:r="http://schemas.openxmlformats.org/officeDocument/2006/relationships" name="Checklist - C21102" sheetId="10" state="visible" r:id="rId10"/>
    <sheet xmlns:r="http://schemas.openxmlformats.org/officeDocument/2006/relationships" name="Checklist - C22101" sheetId="11" state="visible" r:id="rId11"/>
    <sheet xmlns:r="http://schemas.openxmlformats.org/officeDocument/2006/relationships" name="Checklist - C22102" sheetId="12" state="visible" r:id="rId12"/>
    <sheet xmlns:r="http://schemas.openxmlformats.org/officeDocument/2006/relationships" name="Checklist - C31301" sheetId="13" state="visible" r:id="rId13"/>
    <sheet xmlns:r="http://schemas.openxmlformats.org/officeDocument/2006/relationships" name="Checklist - C31302" sheetId="14" state="visible" r:id="rId14"/>
    <sheet xmlns:r="http://schemas.openxmlformats.org/officeDocument/2006/relationships" name="Checklist - C32301" sheetId="15" state="visible" r:id="rId15"/>
    <sheet xmlns:r="http://schemas.openxmlformats.org/officeDocument/2006/relationships" name="Checklist - C32302" sheetId="16" state="visible" r:id="rId16"/>
    <sheet xmlns:r="http://schemas.openxmlformats.org/officeDocument/2006/relationships" name="Checklist - C41301" sheetId="17" state="visible" r:id="rId17"/>
    <sheet xmlns:r="http://schemas.openxmlformats.org/officeDocument/2006/relationships" name="Checklist - C41302" sheetId="18" state="visible" r:id="rId18"/>
    <sheet xmlns:r="http://schemas.openxmlformats.org/officeDocument/2006/relationships" name="Checklist - C41303" sheetId="19" state="visible" r:id="rId19"/>
    <sheet xmlns:r="http://schemas.openxmlformats.org/officeDocument/2006/relationships" name="Checklist - C42301" sheetId="20" state="visible" r:id="rId20"/>
    <sheet xmlns:r="http://schemas.openxmlformats.org/officeDocument/2006/relationships" name="Checklist - C42302" sheetId="21" state="visible" r:id="rId21"/>
  </sheets>
  <definedNames>
    <definedName name="Diretor">Unidade!$B$19:$B$19</definedName>
    <definedName name="GestorSecretario">Unidade!$B$20:$B$20</definedName>
    <definedName name="Secretário">Unidade!$B$20:$B$20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0"/>
      <sz val="10"/>
      <u val="single"/>
      <scheme val="minor"/>
    </font>
    <font>
      <name val="Calibri"/>
      <family val="2"/>
      <b val="1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0" borderId="1" applyAlignment="1" pivotButton="0" quotePrefix="0" xfId="1">
      <alignment horizontal="center"/>
    </xf>
    <xf numFmtId="0" fontId="2" fillId="0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Normal" xfId="0" builtinId="0"/>
    <cellStyle name="Hyperlink" xfId="1"/>
  </cellStyles>
  <dxfs count="37"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0"/>
        <vertAlign val="baseline"/>
        <scheme val="minor"/>
      </font>
      <fill>
        <patternFill patternType="solid">
          <fgColor indexed="64"/>
          <bgColor theme="4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abela1" displayName="Tabela1" ref="A1:U20" headerRowCount="1" totalsRowShown="0" headerRowDxfId="36" dataDxfId="35" headerRowBorderDxfId="33" tableBorderDxfId="34" totalsRowBorderDxfId="32">
  <autoFilter ref="A1:U20"/>
  <tableColumns count="21">
    <tableColumn id="1" name="Ano" dataDxfId="31"/>
    <tableColumn id="2" name="Distrito" dataDxfId="30"/>
    <tableColumn id="3" name="Zona" dataDxfId="29"/>
    <tableColumn id="4" name="Bairro" dataDxfId="28"/>
    <tableColumn id="5" name="Tipo de Contrato" dataDxfId="27"/>
    <tableColumn id="6" name="Rede" dataDxfId="26"/>
    <tableColumn id="7" name="Código INEP" dataDxfId="25"/>
    <tableColumn id="8" name="Código Unidade" dataDxfId="24"/>
    <tableColumn id="9" name="Unidade" dataDxfId="23"/>
    <tableColumn id="10" name="Ensino" dataDxfId="22"/>
    <tableColumn id="11" name="Série" dataDxfId="21"/>
    <tableColumn id="12" name="Turno" dataDxfId="20"/>
    <tableColumn id="13" name="Turma" dataDxfId="19"/>
    <tableColumn id="14" name="Qt Ocupação Turma" dataDxfId="18"/>
    <tableColumn id="15" name="Qt Alunos Turma" dataDxfId="17"/>
    <tableColumn id="16" name="Qt Aluno Não Especial" dataDxfId="16"/>
    <tableColumn id="17" name="Qt Aluno Especial" dataDxfId="15"/>
    <tableColumn id="18" name="Qt Ocupação Aluno Especial" dataDxfId="14"/>
    <tableColumn id="19" name="Qt Vagas Restantes" dataDxfId="13"/>
    <tableColumn id="20" name="Alunos" dataDxfId="12"/>
    <tableColumn id="21" name="Nome Geral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ruydasilveirabrito@semec.belem.pa.gov.br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0" workbookViewId="0">
      <selection activeCell="B19" sqref="B19"/>
    </sheetView>
  </sheetViews>
  <sheetFormatPr baseColWidth="8" defaultRowHeight="15"/>
  <cols>
    <col width="20.7109375" customWidth="1" min="1" max="1"/>
    <col width="60.7109375" customWidth="1" min="2" max="2"/>
  </cols>
  <sheetData>
    <row r="1">
      <c r="A1" s="34" t="inlineStr">
        <is>
          <t>Identificação da Unidade</t>
        </is>
      </c>
      <c r="B1" s="35" t="n"/>
    </row>
    <row r="2">
      <c r="A2" s="11" t="inlineStr">
        <is>
          <t>Unidade</t>
        </is>
      </c>
      <c r="B2" s="10" t="inlineStr">
        <is>
          <t>ESCOLA MUNICIPAL RUY DA SILVEIRA BRITTO</t>
        </is>
      </c>
    </row>
    <row r="3">
      <c r="A3" s="15" t="inlineStr">
        <is>
          <t>Código INEP/MEC</t>
        </is>
      </c>
      <c r="B3" s="16" t="n">
        <v>15040968</v>
      </c>
    </row>
    <row r="4">
      <c r="A4" s="11" t="inlineStr">
        <is>
          <t>Distrito</t>
        </is>
      </c>
      <c r="B4" s="10" t="inlineStr">
        <is>
          <t>DABEL</t>
        </is>
      </c>
    </row>
    <row r="5">
      <c r="A5" s="15" t="inlineStr">
        <is>
          <t>Bairro</t>
        </is>
      </c>
      <c r="B5" s="16" t="inlineStr">
        <is>
          <t>Marco</t>
        </is>
      </c>
    </row>
    <row r="6">
      <c r="A6" s="11" t="inlineStr">
        <is>
          <t>Rede/Vinculo</t>
        </is>
      </c>
      <c r="B6" s="10" t="inlineStr">
        <is>
          <t>Municipal</t>
        </is>
      </c>
    </row>
    <row r="7">
      <c r="A7" s="15" t="inlineStr">
        <is>
          <t>Tipo de Unidade</t>
        </is>
      </c>
      <c r="B7" s="16" t="inlineStr">
        <is>
          <t>Sede</t>
        </is>
      </c>
    </row>
    <row r="8">
      <c r="A8" s="33" t="inlineStr">
        <is>
          <t>Endereço da Unidade</t>
        </is>
      </c>
      <c r="B8" s="36" t="n"/>
    </row>
    <row r="9">
      <c r="A9" s="4" t="inlineStr">
        <is>
          <t>Endereço</t>
        </is>
      </c>
      <c r="B9" s="2" t="inlineStr">
        <is>
          <t>TRAVESSA DOUTOR ENEAS PINHEIRO</t>
        </is>
      </c>
    </row>
    <row r="10">
      <c r="A10" s="7" t="inlineStr">
        <is>
          <t>Número</t>
        </is>
      </c>
      <c r="B10" s="8" t="n">
        <v>2871</v>
      </c>
    </row>
    <row r="11">
      <c r="A11" s="4" t="inlineStr">
        <is>
          <t>Complemento</t>
        </is>
      </c>
      <c r="B11" s="2" t="inlineStr">
        <is>
          <t>ENTRE PERIMETRAL E JOAO PAULO II</t>
        </is>
      </c>
    </row>
    <row r="12">
      <c r="A12" s="7" t="inlineStr">
        <is>
          <t>CEP</t>
        </is>
      </c>
      <c r="B12" s="8" t="inlineStr">
        <is>
          <t>66095-015</t>
        </is>
      </c>
    </row>
    <row r="13">
      <c r="A13" s="4" t="inlineStr">
        <is>
          <t>Zona</t>
        </is>
      </c>
      <c r="B13" s="2" t="inlineStr">
        <is>
          <t>URBANA</t>
        </is>
      </c>
    </row>
    <row r="14">
      <c r="A14" s="7" t="inlineStr">
        <is>
          <t>Tipo de Prédio</t>
        </is>
      </c>
      <c r="B14" s="8" t="inlineStr">
        <is>
          <t>MUNICIPAL</t>
        </is>
      </c>
    </row>
    <row r="15">
      <c r="A15" s="4" t="inlineStr">
        <is>
          <t>Tipo de Contrato</t>
        </is>
      </c>
      <c r="B15" s="2" t="inlineStr">
        <is>
          <t>PROPRIA</t>
        </is>
      </c>
    </row>
    <row r="16">
      <c r="A16" s="7" t="inlineStr">
        <is>
          <t>Telefone</t>
        </is>
      </c>
      <c r="B16" s="8" t="inlineStr">
        <is>
          <t>-</t>
        </is>
      </c>
    </row>
    <row r="17">
      <c r="A17" s="4" t="inlineStr">
        <is>
          <t>E-mail</t>
        </is>
      </c>
      <c r="B17" s="19" t="inlineStr">
        <is>
          <t>ruydasilveirabrito@semec.belem.pa.gov.br</t>
        </is>
      </c>
    </row>
    <row r="18">
      <c r="A18" s="34" t="inlineStr">
        <is>
          <t>Responsáveis da Unidade</t>
        </is>
      </c>
      <c r="B18" s="35" t="n"/>
    </row>
    <row r="19" ht="15" customFormat="1" customHeight="1" s="13">
      <c r="A19" s="14" t="inlineStr">
        <is>
          <t>Diretor</t>
        </is>
      </c>
      <c r="B19" s="12" t="inlineStr">
        <is>
          <t>ROSEANE CONCEIÇÃO COUTO VOGADO</t>
        </is>
      </c>
    </row>
    <row r="20">
      <c r="A20" s="17" t="inlineStr">
        <is>
          <t>Secretário</t>
        </is>
      </c>
      <c r="B20" s="18" t="inlineStr">
        <is>
          <t>RONALDO XAVIER DE CARVALHO</t>
        </is>
      </c>
    </row>
  </sheetData>
  <mergeCells count="3">
    <mergeCell ref="A18:B18"/>
    <mergeCell ref="A8:B8"/>
    <mergeCell ref="A1:B1"/>
  </mergeCells>
  <hyperlinks>
    <hyperlink xmlns:r="http://schemas.openxmlformats.org/officeDocument/2006/relationships" ref="B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tabSelected="0" topLeftCell="O1" workbookViewId="0">
      <selection activeCell="Z2" sqref="Z2"/>
    </sheetView>
  </sheetViews>
  <sheetFormatPr baseColWidth="8" defaultColWidth="9.140625" defaultRowHeight="15"/>
  <cols>
    <col width="10.7109375" customWidth="1" min="1" max="4"/>
    <col width="20.7109375" customWidth="1" min="5" max="8"/>
    <col width="50.7109375" customWidth="1" min="9" max="9"/>
    <col width="25.7109375" customWidth="1" min="10" max="10"/>
    <col width="20.7109375" customWidth="1" min="11" max="15"/>
    <col width="20.85546875" customWidth="1" min="16" max="16"/>
    <col width="20.7109375" customWidth="1" min="17" max="17"/>
    <col width="30.7109375" customWidth="1" min="18" max="18"/>
    <col width="20.7109375" customWidth="1" min="19" max="20"/>
    <col width="50.7109375" customWidth="1" min="21" max="21"/>
  </cols>
  <sheetData>
    <row r="1">
      <c r="A1" s="24" t="inlineStr">
        <is>
          <t>Ano</t>
        </is>
      </c>
      <c r="B1" s="26" t="inlineStr">
        <is>
          <t>Distrito</t>
        </is>
      </c>
      <c r="C1" s="26" t="inlineStr">
        <is>
          <t>Zona</t>
        </is>
      </c>
      <c r="D1" s="26" t="inlineStr">
        <is>
          <t>Bairro</t>
        </is>
      </c>
      <c r="E1" s="26" t="inlineStr">
        <is>
          <t>Tipo de Contrato</t>
        </is>
      </c>
      <c r="F1" s="26" t="inlineStr">
        <is>
          <t>Rede</t>
        </is>
      </c>
      <c r="G1" s="26" t="inlineStr">
        <is>
          <t>Código INEP</t>
        </is>
      </c>
      <c r="H1" s="26" t="inlineStr">
        <is>
          <t>Código Unidade</t>
        </is>
      </c>
      <c r="I1" s="26" t="inlineStr">
        <is>
          <t>Unidade</t>
        </is>
      </c>
      <c r="J1" s="26" t="inlineStr">
        <is>
          <t>Ensino</t>
        </is>
      </c>
      <c r="K1" s="26" t="inlineStr">
        <is>
          <t>Série</t>
        </is>
      </c>
      <c r="L1" s="26" t="inlineStr">
        <is>
          <t>Turno</t>
        </is>
      </c>
      <c r="M1" s="26" t="inlineStr">
        <is>
          <t>Turma</t>
        </is>
      </c>
      <c r="N1" s="26" t="inlineStr">
        <is>
          <t>Qt Ocupação Turma</t>
        </is>
      </c>
      <c r="O1" s="26" t="inlineStr">
        <is>
          <t>Qt Alunos Turma</t>
        </is>
      </c>
      <c r="P1" s="26" t="inlineStr">
        <is>
          <t>Qt Aluno Não Especial</t>
        </is>
      </c>
      <c r="Q1" s="26" t="inlineStr">
        <is>
          <t>Qt Aluno Especial</t>
        </is>
      </c>
      <c r="R1" s="26" t="inlineStr">
        <is>
          <t>Qt Ocupação Aluno Especial</t>
        </is>
      </c>
      <c r="S1" s="26" t="inlineStr">
        <is>
          <t>Qt Vagas Restantes</t>
        </is>
      </c>
      <c r="T1" s="26" t="inlineStr">
        <is>
          <t>Alunos</t>
        </is>
      </c>
      <c r="U1" s="25" t="inlineStr">
        <is>
          <t>Nome Geral</t>
        </is>
      </c>
    </row>
    <row r="2">
      <c r="A2" s="20" t="n">
        <v>2026</v>
      </c>
      <c r="B2" s="12" t="inlineStr">
        <is>
          <t>DABEL</t>
        </is>
      </c>
      <c r="C2" s="12" t="inlineStr">
        <is>
          <t>URBANA</t>
        </is>
      </c>
      <c r="D2" s="12" t="inlineStr">
        <is>
          <t>MARCO</t>
        </is>
      </c>
      <c r="E2" s="12" t="n"/>
      <c r="F2" s="12" t="inlineStr">
        <is>
          <t>MUNICIPAL</t>
        </is>
      </c>
      <c r="G2" s="12" t="n">
        <v>15040968</v>
      </c>
      <c r="H2" s="12" t="n">
        <v>36</v>
      </c>
      <c r="I2" s="12" t="inlineStr">
        <is>
          <t>ESCOLA MUNICIPAL RUY DA SILVEIRA BRITTO</t>
        </is>
      </c>
      <c r="J2" s="12" t="inlineStr">
        <is>
          <t>ENSINO FUNDAMENTAL</t>
        </is>
      </c>
      <c r="K2" s="12" t="inlineStr">
        <is>
          <t>CICLO IV  -  1º ANO</t>
        </is>
      </c>
      <c r="L2" s="12" t="inlineStr">
        <is>
          <t>TARDE</t>
        </is>
      </c>
      <c r="M2" s="12" t="inlineStr">
        <is>
          <t>C41302</t>
        </is>
      </c>
      <c r="N2" s="12" t="n">
        <v>30</v>
      </c>
      <c r="O2" s="12" t="n">
        <v>22</v>
      </c>
      <c r="P2" s="12" t="n">
        <v>22</v>
      </c>
      <c r="Q2" s="12" t="n">
        <v>0</v>
      </c>
      <c r="R2" s="12" t="n">
        <v>0</v>
      </c>
      <c r="S2" s="12" t="n">
        <v>8</v>
      </c>
      <c r="T2" s="12" t="inlineStr">
        <is>
          <t xml:space="preserve">Relação de Alunos </t>
        </is>
      </c>
      <c r="U2" s="22">
        <f>'Checklist - C41302'!$A$1</f>
        <v/>
      </c>
    </row>
    <row r="3">
      <c r="A3" s="21" t="n">
        <v>2026</v>
      </c>
      <c r="B3" s="18" t="inlineStr">
        <is>
          <t>DABEL</t>
        </is>
      </c>
      <c r="C3" s="18" t="inlineStr">
        <is>
          <t>URBANA</t>
        </is>
      </c>
      <c r="D3" s="18" t="inlineStr">
        <is>
          <t>MARCO</t>
        </is>
      </c>
      <c r="E3" s="18" t="n"/>
      <c r="F3" s="18" t="inlineStr">
        <is>
          <t>MUNICIPAL</t>
        </is>
      </c>
      <c r="G3" s="18" t="n">
        <v>15040968</v>
      </c>
      <c r="H3" s="18" t="n">
        <v>36</v>
      </c>
      <c r="I3" s="18" t="inlineStr">
        <is>
          <t>ESCOLA MUNICIPAL RUY DA SILVEIRA BRITTO</t>
        </is>
      </c>
      <c r="J3" s="18" t="inlineStr">
        <is>
          <t>ENSINO FUNDAMENTAL</t>
        </is>
      </c>
      <c r="K3" s="18" t="inlineStr">
        <is>
          <t>CICLO IV  -  1º ANO</t>
        </is>
      </c>
      <c r="L3" s="18" t="inlineStr">
        <is>
          <t>TARDE</t>
        </is>
      </c>
      <c r="M3" s="18" t="inlineStr">
        <is>
          <t>C41301</t>
        </is>
      </c>
      <c r="N3" s="18" t="n">
        <v>30</v>
      </c>
      <c r="O3" s="18" t="n">
        <v>21</v>
      </c>
      <c r="P3" s="18" t="n">
        <v>20</v>
      </c>
      <c r="Q3" s="18" t="n">
        <v>1</v>
      </c>
      <c r="R3" s="18" t="n">
        <v>1</v>
      </c>
      <c r="S3" s="18" t="n">
        <v>9</v>
      </c>
      <c r="T3" s="18" t="inlineStr">
        <is>
          <t xml:space="preserve">Relação de Alunos </t>
        </is>
      </c>
      <c r="U3" s="23">
        <f>'Checklist - C41301'!$A$1</f>
        <v/>
      </c>
    </row>
    <row r="4">
      <c r="A4" s="20" t="n">
        <v>2026</v>
      </c>
      <c r="B4" s="12" t="inlineStr">
        <is>
          <t>DABEL</t>
        </is>
      </c>
      <c r="C4" s="12" t="inlineStr">
        <is>
          <t>URBANA</t>
        </is>
      </c>
      <c r="D4" s="12" t="inlineStr">
        <is>
          <t>MARCO</t>
        </is>
      </c>
      <c r="E4" s="12" t="n"/>
      <c r="F4" s="12" t="inlineStr">
        <is>
          <t>MUNICIPAL</t>
        </is>
      </c>
      <c r="G4" s="12" t="n">
        <v>15040968</v>
      </c>
      <c r="H4" s="12" t="n">
        <v>36</v>
      </c>
      <c r="I4" s="12" t="inlineStr">
        <is>
          <t>ESCOLA MUNICIPAL RUY DA SILVEIRA BRITTO</t>
        </is>
      </c>
      <c r="J4" s="12" t="inlineStr">
        <is>
          <t>ENSINO FUNDAMENTAL</t>
        </is>
      </c>
      <c r="K4" s="12" t="inlineStr">
        <is>
          <t>CICLO III  -  2º ANO</t>
        </is>
      </c>
      <c r="L4" s="12" t="inlineStr">
        <is>
          <t>TARDE</t>
        </is>
      </c>
      <c r="M4" s="12" t="inlineStr">
        <is>
          <t>C32302</t>
        </is>
      </c>
      <c r="N4" s="12" t="n">
        <v>30</v>
      </c>
      <c r="O4" s="12" t="n">
        <v>28</v>
      </c>
      <c r="P4" s="12" t="n">
        <v>25</v>
      </c>
      <c r="Q4" s="12" t="n">
        <v>3</v>
      </c>
      <c r="R4" s="12" t="n">
        <v>3</v>
      </c>
      <c r="S4" s="12" t="n">
        <v>2</v>
      </c>
      <c r="T4" s="12" t="inlineStr">
        <is>
          <t xml:space="preserve">Relação de Alunos </t>
        </is>
      </c>
      <c r="U4" s="22">
        <f>'Checklist - C32302'!$A$1</f>
        <v/>
      </c>
    </row>
    <row r="5">
      <c r="A5" s="21" t="n">
        <v>2026</v>
      </c>
      <c r="B5" s="18" t="inlineStr">
        <is>
          <t>DABEL</t>
        </is>
      </c>
      <c r="C5" s="18" t="inlineStr">
        <is>
          <t>URBANA</t>
        </is>
      </c>
      <c r="D5" s="18" t="inlineStr">
        <is>
          <t>MARCO</t>
        </is>
      </c>
      <c r="E5" s="18" t="n"/>
      <c r="F5" s="18" t="inlineStr">
        <is>
          <t>MUNICIPAL</t>
        </is>
      </c>
      <c r="G5" s="18" t="n">
        <v>15040968</v>
      </c>
      <c r="H5" s="18" t="n">
        <v>36</v>
      </c>
      <c r="I5" s="18" t="inlineStr">
        <is>
          <t>ESCOLA MUNICIPAL RUY DA SILVEIRA BRITTO</t>
        </is>
      </c>
      <c r="J5" s="18" t="inlineStr">
        <is>
          <t>ENSINO FUNDAMENTAL</t>
        </is>
      </c>
      <c r="K5" s="18" t="inlineStr">
        <is>
          <t>CICLO III  -  2º ANO</t>
        </is>
      </c>
      <c r="L5" s="18" t="inlineStr">
        <is>
          <t>TARDE</t>
        </is>
      </c>
      <c r="M5" s="18" t="inlineStr">
        <is>
          <t>C32301</t>
        </is>
      </c>
      <c r="N5" s="18" t="n">
        <v>30</v>
      </c>
      <c r="O5" s="18" t="n">
        <v>27</v>
      </c>
      <c r="P5" s="18" t="n">
        <v>24</v>
      </c>
      <c r="Q5" s="18" t="n">
        <v>3</v>
      </c>
      <c r="R5" s="18" t="n">
        <v>3</v>
      </c>
      <c r="S5" s="18" t="n">
        <v>3</v>
      </c>
      <c r="T5" s="18" t="inlineStr">
        <is>
          <t xml:space="preserve">Relação de Alunos </t>
        </is>
      </c>
      <c r="U5" s="23">
        <f>'Checklist - C32301'!$A$1</f>
        <v/>
      </c>
    </row>
    <row r="6">
      <c r="A6" s="20" t="n">
        <v>2026</v>
      </c>
      <c r="B6" s="12" t="inlineStr">
        <is>
          <t>DABEL</t>
        </is>
      </c>
      <c r="C6" s="12" t="inlineStr">
        <is>
          <t>URBANA</t>
        </is>
      </c>
      <c r="D6" s="12" t="inlineStr">
        <is>
          <t>MARCO</t>
        </is>
      </c>
      <c r="E6" s="12" t="n"/>
      <c r="F6" s="12" t="inlineStr">
        <is>
          <t>MUNICIPAL</t>
        </is>
      </c>
      <c r="G6" s="12" t="n">
        <v>15040968</v>
      </c>
      <c r="H6" s="12" t="n">
        <v>36</v>
      </c>
      <c r="I6" s="12" t="inlineStr">
        <is>
          <t>ESCOLA MUNICIPAL RUY DA SILVEIRA BRITTO</t>
        </is>
      </c>
      <c r="J6" s="12" t="inlineStr">
        <is>
          <t>ENSINO FUNDAMENTAL</t>
        </is>
      </c>
      <c r="K6" s="12" t="inlineStr">
        <is>
          <t>CICLO III  -  1º ANO</t>
        </is>
      </c>
      <c r="L6" s="12" t="inlineStr">
        <is>
          <t>TARDE</t>
        </is>
      </c>
      <c r="M6" s="12" t="inlineStr">
        <is>
          <t>C31302</t>
        </is>
      </c>
      <c r="N6" s="12" t="n">
        <v>30</v>
      </c>
      <c r="O6" s="12" t="n">
        <v>26</v>
      </c>
      <c r="P6" s="12" t="n">
        <v>23</v>
      </c>
      <c r="Q6" s="12" t="n">
        <v>3</v>
      </c>
      <c r="R6" s="12" t="n">
        <v>3</v>
      </c>
      <c r="S6" s="12" t="n">
        <v>4</v>
      </c>
      <c r="T6" s="12" t="inlineStr">
        <is>
          <t xml:space="preserve">Relação de Alunos </t>
        </is>
      </c>
      <c r="U6" s="22">
        <f>'Checklist - C31302'!$A$1</f>
        <v/>
      </c>
    </row>
    <row r="7">
      <c r="A7" s="21" t="n">
        <v>2026</v>
      </c>
      <c r="B7" s="18" t="inlineStr">
        <is>
          <t>DABEL</t>
        </is>
      </c>
      <c r="C7" s="18" t="inlineStr">
        <is>
          <t>URBANA</t>
        </is>
      </c>
      <c r="D7" s="18" t="inlineStr">
        <is>
          <t>MARCO</t>
        </is>
      </c>
      <c r="E7" s="18" t="n"/>
      <c r="F7" s="18" t="inlineStr">
        <is>
          <t>MUNICIPAL</t>
        </is>
      </c>
      <c r="G7" s="18" t="n">
        <v>15040968</v>
      </c>
      <c r="H7" s="18" t="n">
        <v>36</v>
      </c>
      <c r="I7" s="18" t="inlineStr">
        <is>
          <t>ESCOLA MUNICIPAL RUY DA SILVEIRA BRITTO</t>
        </is>
      </c>
      <c r="J7" s="18" t="inlineStr">
        <is>
          <t>ENSINO FUNDAMENTAL</t>
        </is>
      </c>
      <c r="K7" s="18" t="inlineStr">
        <is>
          <t>CICLO III  -  1º ANO</t>
        </is>
      </c>
      <c r="L7" s="18" t="inlineStr">
        <is>
          <t>TARDE</t>
        </is>
      </c>
      <c r="M7" s="18" t="inlineStr">
        <is>
          <t>C31301</t>
        </is>
      </c>
      <c r="N7" s="18" t="n">
        <v>30</v>
      </c>
      <c r="O7" s="18" t="n">
        <v>22</v>
      </c>
      <c r="P7" s="18" t="n">
        <v>20</v>
      </c>
      <c r="Q7" s="18" t="n">
        <v>2</v>
      </c>
      <c r="R7" s="18" t="n">
        <v>2</v>
      </c>
      <c r="S7" s="18" t="n">
        <v>8</v>
      </c>
      <c r="T7" s="18" t="inlineStr">
        <is>
          <t xml:space="preserve">Relação de Alunos </t>
        </is>
      </c>
      <c r="U7" s="23">
        <f>'Checklist - C31301'!$A$1</f>
        <v/>
      </c>
    </row>
    <row r="8">
      <c r="A8" s="20" t="n">
        <v>2026</v>
      </c>
      <c r="B8" s="12" t="inlineStr">
        <is>
          <t>DABEL</t>
        </is>
      </c>
      <c r="C8" s="12" t="inlineStr">
        <is>
          <t>URBANA</t>
        </is>
      </c>
      <c r="D8" s="12" t="inlineStr">
        <is>
          <t>MARCO</t>
        </is>
      </c>
      <c r="E8" s="12" t="n"/>
      <c r="F8" s="12" t="inlineStr">
        <is>
          <t>MUNICIPAL</t>
        </is>
      </c>
      <c r="G8" s="12" t="n">
        <v>15040968</v>
      </c>
      <c r="H8" s="12" t="n">
        <v>36</v>
      </c>
      <c r="I8" s="12" t="inlineStr">
        <is>
          <t>ESCOLA MUNICIPAL RUY DA SILVEIRA BRITTO</t>
        </is>
      </c>
      <c r="J8" s="12" t="inlineStr">
        <is>
          <t>ENSINO FUNDAMENTAL</t>
        </is>
      </c>
      <c r="K8" s="12" t="inlineStr">
        <is>
          <t>CICLO II  -  2º ANO</t>
        </is>
      </c>
      <c r="L8" s="12" t="inlineStr">
        <is>
          <t>MANHÃ</t>
        </is>
      </c>
      <c r="M8" s="12" t="inlineStr">
        <is>
          <t>C22102</t>
        </is>
      </c>
      <c r="N8" s="12" t="n">
        <v>30</v>
      </c>
      <c r="O8" s="12" t="n">
        <v>28</v>
      </c>
      <c r="P8" s="12" t="n">
        <v>25</v>
      </c>
      <c r="Q8" s="12" t="n">
        <v>3</v>
      </c>
      <c r="R8" s="12" t="n">
        <v>3</v>
      </c>
      <c r="S8" s="12" t="n">
        <v>2</v>
      </c>
      <c r="T8" s="12" t="inlineStr">
        <is>
          <t xml:space="preserve">Relação de Alunos </t>
        </is>
      </c>
      <c r="U8" s="22">
        <f>'Checklist - C22102'!$A$1</f>
        <v/>
      </c>
    </row>
    <row r="9">
      <c r="A9" s="21" t="n">
        <v>2026</v>
      </c>
      <c r="B9" s="18" t="inlineStr">
        <is>
          <t>DABEL</t>
        </is>
      </c>
      <c r="C9" s="18" t="inlineStr">
        <is>
          <t>URBANA</t>
        </is>
      </c>
      <c r="D9" s="18" t="inlineStr">
        <is>
          <t>MARCO</t>
        </is>
      </c>
      <c r="E9" s="18" t="n"/>
      <c r="F9" s="18" t="inlineStr">
        <is>
          <t>MUNICIPAL</t>
        </is>
      </c>
      <c r="G9" s="18" t="n">
        <v>15040968</v>
      </c>
      <c r="H9" s="18" t="n">
        <v>36</v>
      </c>
      <c r="I9" s="18" t="inlineStr">
        <is>
          <t>ESCOLA MUNICIPAL RUY DA SILVEIRA BRITTO</t>
        </is>
      </c>
      <c r="J9" s="18" t="inlineStr">
        <is>
          <t>ENSINO FUNDAMENTAL</t>
        </is>
      </c>
      <c r="K9" s="18" t="inlineStr">
        <is>
          <t>CICLO II  -  2º ANO</t>
        </is>
      </c>
      <c r="L9" s="18" t="inlineStr">
        <is>
          <t>MANHÃ</t>
        </is>
      </c>
      <c r="M9" s="18" t="inlineStr">
        <is>
          <t>C22101</t>
        </is>
      </c>
      <c r="N9" s="18" t="n">
        <v>30</v>
      </c>
      <c r="O9" s="18" t="n">
        <v>28</v>
      </c>
      <c r="P9" s="18" t="n">
        <v>27</v>
      </c>
      <c r="Q9" s="18" t="n">
        <v>1</v>
      </c>
      <c r="R9" s="18" t="n">
        <v>1</v>
      </c>
      <c r="S9" s="18" t="n">
        <v>2</v>
      </c>
      <c r="T9" s="18" t="inlineStr">
        <is>
          <t xml:space="preserve">Relação de Alunos </t>
        </is>
      </c>
      <c r="U9" s="23">
        <f>'Checklist - C22101'!$A$1</f>
        <v/>
      </c>
    </row>
    <row r="10">
      <c r="A10" s="20" t="n">
        <v>2026</v>
      </c>
      <c r="B10" s="12" t="inlineStr">
        <is>
          <t>DABEL</t>
        </is>
      </c>
      <c r="C10" s="12" t="inlineStr">
        <is>
          <t>URBANA</t>
        </is>
      </c>
      <c r="D10" s="12" t="inlineStr">
        <is>
          <t>MARCO</t>
        </is>
      </c>
      <c r="E10" s="12" t="n"/>
      <c r="F10" s="12" t="inlineStr">
        <is>
          <t>MUNICIPAL</t>
        </is>
      </c>
      <c r="G10" s="12" t="n">
        <v>15040968</v>
      </c>
      <c r="H10" s="12" t="n">
        <v>36</v>
      </c>
      <c r="I10" s="12" t="inlineStr">
        <is>
          <t>ESCOLA MUNICIPAL RUY DA SILVEIRA BRITTO</t>
        </is>
      </c>
      <c r="J10" s="12" t="inlineStr">
        <is>
          <t>ENSINO FUNDAMENTAL</t>
        </is>
      </c>
      <c r="K10" s="12" t="inlineStr">
        <is>
          <t>CICLO II  -  1º ANO</t>
        </is>
      </c>
      <c r="L10" s="12" t="inlineStr">
        <is>
          <t>MANHÃ</t>
        </is>
      </c>
      <c r="M10" s="12" t="inlineStr">
        <is>
          <t>C21102</t>
        </is>
      </c>
      <c r="N10" s="12" t="n">
        <v>30</v>
      </c>
      <c r="O10" s="12" t="n">
        <v>25</v>
      </c>
      <c r="P10" s="12" t="n">
        <v>23</v>
      </c>
      <c r="Q10" s="12" t="n">
        <v>2</v>
      </c>
      <c r="R10" s="12" t="n">
        <v>2</v>
      </c>
      <c r="S10" s="12" t="n">
        <v>5</v>
      </c>
      <c r="T10" s="12" t="inlineStr">
        <is>
          <t xml:space="preserve">Relação de Alunos </t>
        </is>
      </c>
      <c r="U10" s="22">
        <f>'Checklist - C21102'!$A$1</f>
        <v/>
      </c>
    </row>
    <row r="11">
      <c r="A11" s="21" t="n">
        <v>2026</v>
      </c>
      <c r="B11" s="18" t="inlineStr">
        <is>
          <t>DABEL</t>
        </is>
      </c>
      <c r="C11" s="18" t="inlineStr">
        <is>
          <t>URBANA</t>
        </is>
      </c>
      <c r="D11" s="18" t="inlineStr">
        <is>
          <t>MARCO</t>
        </is>
      </c>
      <c r="E11" s="18" t="n"/>
      <c r="F11" s="18" t="inlineStr">
        <is>
          <t>MUNICIPAL</t>
        </is>
      </c>
      <c r="G11" s="18" t="n">
        <v>15040968</v>
      </c>
      <c r="H11" s="18" t="n">
        <v>36</v>
      </c>
      <c r="I11" s="18" t="inlineStr">
        <is>
          <t>ESCOLA MUNICIPAL RUY DA SILVEIRA BRITTO</t>
        </is>
      </c>
      <c r="J11" s="18" t="inlineStr">
        <is>
          <t>ENSINO FUNDAMENTAL</t>
        </is>
      </c>
      <c r="K11" s="18" t="inlineStr">
        <is>
          <t>CICLO II  -  1º ANO</t>
        </is>
      </c>
      <c r="L11" s="18" t="inlineStr">
        <is>
          <t>MANHÃ</t>
        </is>
      </c>
      <c r="M11" s="18" t="inlineStr">
        <is>
          <t>C21101</t>
        </is>
      </c>
      <c r="N11" s="18" t="n">
        <v>30</v>
      </c>
      <c r="O11" s="18" t="n">
        <v>24</v>
      </c>
      <c r="P11" s="18" t="n">
        <v>21</v>
      </c>
      <c r="Q11" s="18" t="n">
        <v>3</v>
      </c>
      <c r="R11" s="18" t="n">
        <v>3</v>
      </c>
      <c r="S11" s="18" t="n">
        <v>6</v>
      </c>
      <c r="T11" s="18" t="inlineStr">
        <is>
          <t xml:space="preserve">Relação de Alunos </t>
        </is>
      </c>
      <c r="U11" s="23">
        <f>'Checklist - C21101'!$A$1</f>
        <v/>
      </c>
    </row>
    <row r="12">
      <c r="A12" s="20" t="n">
        <v>2026</v>
      </c>
      <c r="B12" s="12" t="inlineStr">
        <is>
          <t>DABEL</t>
        </is>
      </c>
      <c r="C12" s="12" t="inlineStr">
        <is>
          <t>URBANA</t>
        </is>
      </c>
      <c r="D12" s="12" t="inlineStr">
        <is>
          <t>MARCO</t>
        </is>
      </c>
      <c r="E12" s="12" t="n"/>
      <c r="F12" s="12" t="inlineStr">
        <is>
          <t>MUNICIPAL</t>
        </is>
      </c>
      <c r="G12" s="12" t="n">
        <v>15040968</v>
      </c>
      <c r="H12" s="12" t="n">
        <v>36</v>
      </c>
      <c r="I12" s="12" t="inlineStr">
        <is>
          <t>ESCOLA MUNICIPAL RUY DA SILVEIRA BRITTO</t>
        </is>
      </c>
      <c r="J12" s="12" t="inlineStr">
        <is>
          <t>ENSINO FUNDAMENTAL</t>
        </is>
      </c>
      <c r="K12" s="12" t="inlineStr">
        <is>
          <t>CICLO I  -  3º ANO</t>
        </is>
      </c>
      <c r="L12" s="12" t="inlineStr">
        <is>
          <t>MANHÃ</t>
        </is>
      </c>
      <c r="M12" s="12" t="inlineStr">
        <is>
          <t>C13102</t>
        </is>
      </c>
      <c r="N12" s="12" t="n">
        <v>30</v>
      </c>
      <c r="O12" s="12" t="n">
        <v>24</v>
      </c>
      <c r="P12" s="12" t="n">
        <v>21</v>
      </c>
      <c r="Q12" s="12" t="n">
        <v>3</v>
      </c>
      <c r="R12" s="12" t="n">
        <v>3</v>
      </c>
      <c r="S12" s="12" t="n">
        <v>6</v>
      </c>
      <c r="T12" s="12" t="inlineStr">
        <is>
          <t xml:space="preserve">Relação de Alunos </t>
        </is>
      </c>
      <c r="U12" s="22">
        <f>'Checklist - C13102'!$A$1</f>
        <v/>
      </c>
    </row>
    <row r="13">
      <c r="A13" s="21" t="n">
        <v>2026</v>
      </c>
      <c r="B13" s="18" t="inlineStr">
        <is>
          <t>DABEL</t>
        </is>
      </c>
      <c r="C13" s="18" t="inlineStr">
        <is>
          <t>URBANA</t>
        </is>
      </c>
      <c r="D13" s="18" t="inlineStr">
        <is>
          <t>MARCO</t>
        </is>
      </c>
      <c r="E13" s="18" t="n"/>
      <c r="F13" s="18" t="inlineStr">
        <is>
          <t>MUNICIPAL</t>
        </is>
      </c>
      <c r="G13" s="18" t="n">
        <v>15040968</v>
      </c>
      <c r="H13" s="18" t="n">
        <v>36</v>
      </c>
      <c r="I13" s="18" t="inlineStr">
        <is>
          <t>ESCOLA MUNICIPAL RUY DA SILVEIRA BRITTO</t>
        </is>
      </c>
      <c r="J13" s="18" t="inlineStr">
        <is>
          <t>ENSINO FUNDAMENTAL</t>
        </is>
      </c>
      <c r="K13" s="18" t="inlineStr">
        <is>
          <t>CICLO I  -  3º ANO</t>
        </is>
      </c>
      <c r="L13" s="18" t="inlineStr">
        <is>
          <t>MANHÃ</t>
        </is>
      </c>
      <c r="M13" s="18" t="inlineStr">
        <is>
          <t>C13101</t>
        </is>
      </c>
      <c r="N13" s="18" t="n">
        <v>30</v>
      </c>
      <c r="O13" s="18" t="n">
        <v>25</v>
      </c>
      <c r="P13" s="18" t="n">
        <v>22</v>
      </c>
      <c r="Q13" s="18" t="n">
        <v>3</v>
      </c>
      <c r="R13" s="18" t="n">
        <v>3</v>
      </c>
      <c r="S13" s="18" t="n">
        <v>5</v>
      </c>
      <c r="T13" s="18" t="inlineStr">
        <is>
          <t xml:space="preserve">Relação de Alunos </t>
        </is>
      </c>
      <c r="U13" s="23">
        <f>'Checklist - C13101'!$A$1</f>
        <v/>
      </c>
    </row>
    <row r="14">
      <c r="A14" s="20" t="n">
        <v>2026</v>
      </c>
      <c r="B14" s="12" t="inlineStr">
        <is>
          <t>DABEL</t>
        </is>
      </c>
      <c r="C14" s="12" t="inlineStr">
        <is>
          <t>URBANA</t>
        </is>
      </c>
      <c r="D14" s="12" t="inlineStr">
        <is>
          <t>MARCO</t>
        </is>
      </c>
      <c r="E14" s="12" t="n"/>
      <c r="F14" s="12" t="inlineStr">
        <is>
          <t>MUNICIPAL</t>
        </is>
      </c>
      <c r="G14" s="12" t="n">
        <v>15040968</v>
      </c>
      <c r="H14" s="12" t="n">
        <v>36</v>
      </c>
      <c r="I14" s="12" t="inlineStr">
        <is>
          <t>ESCOLA MUNICIPAL RUY DA SILVEIRA BRITTO</t>
        </is>
      </c>
      <c r="J14" s="12" t="inlineStr">
        <is>
          <t>ENSINO FUNDAMENTAL</t>
        </is>
      </c>
      <c r="K14" s="12" t="inlineStr">
        <is>
          <t>CICLO I  -  2º ANO</t>
        </is>
      </c>
      <c r="L14" s="12" t="inlineStr">
        <is>
          <t>MANHÃ</t>
        </is>
      </c>
      <c r="M14" s="12" t="inlineStr">
        <is>
          <t>C12102</t>
        </is>
      </c>
      <c r="N14" s="12" t="n">
        <v>28</v>
      </c>
      <c r="O14" s="12" t="n">
        <v>25</v>
      </c>
      <c r="P14" s="12" t="n">
        <v>20</v>
      </c>
      <c r="Q14" s="12" t="n">
        <v>5</v>
      </c>
      <c r="R14" s="12" t="n">
        <v>5</v>
      </c>
      <c r="S14" s="12" t="n">
        <v>3</v>
      </c>
      <c r="T14" s="12" t="inlineStr">
        <is>
          <t xml:space="preserve">Relação de Alunos </t>
        </is>
      </c>
      <c r="U14" s="22">
        <f>'Checklist - C12102'!$A$1</f>
        <v/>
      </c>
    </row>
    <row r="15">
      <c r="A15" s="21" t="n">
        <v>2026</v>
      </c>
      <c r="B15" s="18" t="inlineStr">
        <is>
          <t>DABEL</t>
        </is>
      </c>
      <c r="C15" s="18" t="inlineStr">
        <is>
          <t>URBANA</t>
        </is>
      </c>
      <c r="D15" s="18" t="inlineStr">
        <is>
          <t>MARCO</t>
        </is>
      </c>
      <c r="E15" s="18" t="n"/>
      <c r="F15" s="18" t="inlineStr">
        <is>
          <t>MUNICIPAL</t>
        </is>
      </c>
      <c r="G15" s="18" t="n">
        <v>15040968</v>
      </c>
      <c r="H15" s="18" t="n">
        <v>36</v>
      </c>
      <c r="I15" s="18" t="inlineStr">
        <is>
          <t>ESCOLA MUNICIPAL RUY DA SILVEIRA BRITTO</t>
        </is>
      </c>
      <c r="J15" s="18" t="inlineStr">
        <is>
          <t>ENSINO FUNDAMENTAL</t>
        </is>
      </c>
      <c r="K15" s="18" t="inlineStr">
        <is>
          <t>CICLO I  -  2º ANO</t>
        </is>
      </c>
      <c r="L15" s="18" t="inlineStr">
        <is>
          <t>MANHÃ</t>
        </is>
      </c>
      <c r="M15" s="18" t="inlineStr">
        <is>
          <t>C12101</t>
        </is>
      </c>
      <c r="N15" s="18" t="n">
        <v>28</v>
      </c>
      <c r="O15" s="18" t="n">
        <v>23</v>
      </c>
      <c r="P15" s="18" t="n">
        <v>18</v>
      </c>
      <c r="Q15" s="18" t="n">
        <v>5</v>
      </c>
      <c r="R15" s="18" t="n">
        <v>5</v>
      </c>
      <c r="S15" s="18" t="n">
        <v>5</v>
      </c>
      <c r="T15" s="18" t="inlineStr">
        <is>
          <t xml:space="preserve">Relação de Alunos </t>
        </is>
      </c>
      <c r="U15" s="23">
        <f>'Checklist - C12101'!$A$1</f>
        <v/>
      </c>
    </row>
    <row r="16">
      <c r="A16" s="20" t="n">
        <v>2026</v>
      </c>
      <c r="B16" s="12" t="inlineStr">
        <is>
          <t>DABEL</t>
        </is>
      </c>
      <c r="C16" s="12" t="inlineStr">
        <is>
          <t>URBANA</t>
        </is>
      </c>
      <c r="D16" s="12" t="inlineStr">
        <is>
          <t>MARCO</t>
        </is>
      </c>
      <c r="E16" s="12" t="n"/>
      <c r="F16" s="12" t="inlineStr">
        <is>
          <t>MUNICIPAL</t>
        </is>
      </c>
      <c r="G16" s="12" t="n">
        <v>15040968</v>
      </c>
      <c r="H16" s="12" t="n">
        <v>36</v>
      </c>
      <c r="I16" s="12" t="inlineStr">
        <is>
          <t>ESCOLA MUNICIPAL RUY DA SILVEIRA BRITTO</t>
        </is>
      </c>
      <c r="J16" s="12" t="inlineStr">
        <is>
          <t>ENSINO FUNDAMENTAL</t>
        </is>
      </c>
      <c r="K16" s="12" t="inlineStr">
        <is>
          <t>CICLO I  -  1º ANO</t>
        </is>
      </c>
      <c r="L16" s="12" t="inlineStr">
        <is>
          <t>MANHÃ</t>
        </is>
      </c>
      <c r="M16" s="12" t="inlineStr">
        <is>
          <t>C11102</t>
        </is>
      </c>
      <c r="N16" s="12" t="n">
        <v>25</v>
      </c>
      <c r="O16" s="12" t="n">
        <v>21</v>
      </c>
      <c r="P16" s="12" t="n">
        <v>18</v>
      </c>
      <c r="Q16" s="12" t="n">
        <v>3</v>
      </c>
      <c r="R16" s="12" t="n">
        <v>3</v>
      </c>
      <c r="S16" s="12" t="n">
        <v>4</v>
      </c>
      <c r="T16" s="12" t="inlineStr">
        <is>
          <t xml:space="preserve">Relação de Alunos </t>
        </is>
      </c>
      <c r="U16" s="22">
        <f>'Checklist - C11102'!$A$1</f>
        <v/>
      </c>
    </row>
    <row r="17">
      <c r="A17" s="21" t="n">
        <v>2026</v>
      </c>
      <c r="B17" s="18" t="inlineStr">
        <is>
          <t>DABEL</t>
        </is>
      </c>
      <c r="C17" s="18" t="inlineStr">
        <is>
          <t>URBANA</t>
        </is>
      </c>
      <c r="D17" s="18" t="inlineStr">
        <is>
          <t>MARCO</t>
        </is>
      </c>
      <c r="E17" s="18" t="n"/>
      <c r="F17" s="18" t="inlineStr">
        <is>
          <t>MUNICIPAL</t>
        </is>
      </c>
      <c r="G17" s="18" t="n">
        <v>15040968</v>
      </c>
      <c r="H17" s="18" t="n">
        <v>36</v>
      </c>
      <c r="I17" s="18" t="inlineStr">
        <is>
          <t>ESCOLA MUNICIPAL RUY DA SILVEIRA BRITTO</t>
        </is>
      </c>
      <c r="J17" s="18" t="inlineStr">
        <is>
          <t>ENSINO FUNDAMENTAL</t>
        </is>
      </c>
      <c r="K17" s="18" t="inlineStr">
        <is>
          <t>CICLO I  -  1º ANO</t>
        </is>
      </c>
      <c r="L17" s="18" t="inlineStr">
        <is>
          <t>MANHÃ</t>
        </is>
      </c>
      <c r="M17" s="18" t="inlineStr">
        <is>
          <t>C11101</t>
        </is>
      </c>
      <c r="N17" s="18" t="n">
        <v>25</v>
      </c>
      <c r="O17" s="18" t="n">
        <v>19</v>
      </c>
      <c r="P17" s="18" t="n">
        <v>15</v>
      </c>
      <c r="Q17" s="18" t="n">
        <v>4</v>
      </c>
      <c r="R17" s="18" t="n">
        <v>4</v>
      </c>
      <c r="S17" s="18" t="n">
        <v>6</v>
      </c>
      <c r="T17" s="18" t="inlineStr">
        <is>
          <t xml:space="preserve">Relação de Alunos </t>
        </is>
      </c>
      <c r="U17" s="23">
        <f>'Checklist - C11101'!$A$1</f>
        <v/>
      </c>
    </row>
    <row r="18">
      <c r="A18" s="20" t="n">
        <v>2026</v>
      </c>
      <c r="B18" s="12" t="inlineStr">
        <is>
          <t>DABEL</t>
        </is>
      </c>
      <c r="C18" s="12" t="inlineStr">
        <is>
          <t>URBANA</t>
        </is>
      </c>
      <c r="D18" s="12" t="inlineStr">
        <is>
          <t>MARCO</t>
        </is>
      </c>
      <c r="E18" s="12" t="n"/>
      <c r="F18" s="12" t="inlineStr">
        <is>
          <t>MUNICIPAL</t>
        </is>
      </c>
      <c r="G18" s="12" t="n">
        <v>15040968</v>
      </c>
      <c r="H18" s="12" t="n">
        <v>36</v>
      </c>
      <c r="I18" s="12" t="inlineStr">
        <is>
          <t>ESCOLA MUNICIPAL RUY DA SILVEIRA BRITTO</t>
        </is>
      </c>
      <c r="J18" s="12" t="inlineStr">
        <is>
          <t>ENSINO FUNDAMENTAL</t>
        </is>
      </c>
      <c r="K18" s="12" t="inlineStr">
        <is>
          <t>CICLO IV  -  2º ANO</t>
        </is>
      </c>
      <c r="L18" s="12" t="inlineStr">
        <is>
          <t>TARDE</t>
        </is>
      </c>
      <c r="M18" s="12" t="inlineStr">
        <is>
          <t>C42302</t>
        </is>
      </c>
      <c r="N18" s="12" t="n">
        <v>30</v>
      </c>
      <c r="O18" s="12" t="n">
        <v>26</v>
      </c>
      <c r="P18" s="12" t="n">
        <v>23</v>
      </c>
      <c r="Q18" s="12" t="n">
        <v>3</v>
      </c>
      <c r="R18" s="12" t="n">
        <v>3</v>
      </c>
      <c r="S18" s="12" t="n">
        <v>4</v>
      </c>
      <c r="T18" s="12" t="inlineStr">
        <is>
          <t xml:space="preserve">Relação de Alunos </t>
        </is>
      </c>
      <c r="U18" s="22">
        <f>'Checklist - C42302'!$A$1</f>
        <v/>
      </c>
    </row>
    <row r="19">
      <c r="A19" s="21" t="n">
        <v>2026</v>
      </c>
      <c r="B19" s="18" t="inlineStr">
        <is>
          <t>DABEL</t>
        </is>
      </c>
      <c r="C19" s="18" t="inlineStr">
        <is>
          <t>URBANA</t>
        </is>
      </c>
      <c r="D19" s="18" t="inlineStr">
        <is>
          <t>MARCO</t>
        </is>
      </c>
      <c r="E19" s="18" t="n"/>
      <c r="F19" s="18" t="inlineStr">
        <is>
          <t>MUNICIPAL</t>
        </is>
      </c>
      <c r="G19" s="18" t="n">
        <v>15040968</v>
      </c>
      <c r="H19" s="18" t="n">
        <v>36</v>
      </c>
      <c r="I19" s="18" t="inlineStr">
        <is>
          <t>ESCOLA MUNICIPAL RUY DA SILVEIRA BRITTO</t>
        </is>
      </c>
      <c r="J19" s="18" t="inlineStr">
        <is>
          <t>ENSINO FUNDAMENTAL</t>
        </is>
      </c>
      <c r="K19" s="18" t="inlineStr">
        <is>
          <t>CICLO IV  -  2º ANO</t>
        </is>
      </c>
      <c r="L19" s="18" t="inlineStr">
        <is>
          <t>TARDE</t>
        </is>
      </c>
      <c r="M19" s="18" t="inlineStr">
        <is>
          <t>C42301</t>
        </is>
      </c>
      <c r="N19" s="18" t="n">
        <v>30</v>
      </c>
      <c r="O19" s="18" t="n">
        <v>26</v>
      </c>
      <c r="P19" s="18" t="n">
        <v>24</v>
      </c>
      <c r="Q19" s="18" t="n">
        <v>2</v>
      </c>
      <c r="R19" s="18" t="n">
        <v>2</v>
      </c>
      <c r="S19" s="18" t="n">
        <v>4</v>
      </c>
      <c r="T19" s="18" t="inlineStr">
        <is>
          <t xml:space="preserve">Relação de Alunos </t>
        </is>
      </c>
      <c r="U19" s="23">
        <f>'Checklist - C42301'!$A$1</f>
        <v/>
      </c>
    </row>
    <row r="20">
      <c r="A20" s="28" t="n">
        <v>2026</v>
      </c>
      <c r="B20" s="27" t="inlineStr">
        <is>
          <t>DABEL</t>
        </is>
      </c>
      <c r="C20" s="27" t="inlineStr">
        <is>
          <t>URBANA</t>
        </is>
      </c>
      <c r="D20" s="27" t="inlineStr">
        <is>
          <t>MARCO</t>
        </is>
      </c>
      <c r="E20" s="27" t="n"/>
      <c r="F20" s="27" t="inlineStr">
        <is>
          <t>MUNICIPAL</t>
        </is>
      </c>
      <c r="G20" s="27" t="n">
        <v>15040968</v>
      </c>
      <c r="H20" s="27" t="n">
        <v>36</v>
      </c>
      <c r="I20" s="27" t="inlineStr">
        <is>
          <t>ESCOLA MUNICIPAL RUY DA SILVEIRA BRITTO</t>
        </is>
      </c>
      <c r="J20" s="27" t="inlineStr">
        <is>
          <t>ENSINO FUNDAMENTAL</t>
        </is>
      </c>
      <c r="K20" s="27" t="inlineStr">
        <is>
          <t>CICLO IV  -  1º ANO</t>
        </is>
      </c>
      <c r="L20" s="27" t="inlineStr">
        <is>
          <t>TARDE</t>
        </is>
      </c>
      <c r="M20" s="27" t="inlineStr">
        <is>
          <t>C41303</t>
        </is>
      </c>
      <c r="N20" s="27" t="n">
        <v>30</v>
      </c>
      <c r="O20" s="27" t="n">
        <v>22</v>
      </c>
      <c r="P20" s="27" t="n">
        <v>21</v>
      </c>
      <c r="Q20" s="27" t="n">
        <v>1</v>
      </c>
      <c r="R20" s="27" t="n">
        <v>1</v>
      </c>
      <c r="S20" s="27" t="n">
        <v>8</v>
      </c>
      <c r="T20" s="27" t="inlineStr">
        <is>
          <t xml:space="preserve">Relação de Alunos </t>
        </is>
      </c>
      <c r="U20" s="29">
        <f>'Checklist - C41303'!$A$1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INDEX(Turmas!$K:$K,MATCH("C11101",Turmas!$M:$M,0))&amp;" | "&amp;INDEX(Turmas!$L:$L,MATCH("C11101",Turmas!$M:$M,0))&amp;" | "&amp;"C11101"&amp;"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INDEX(Turmas!$K:$K,MATCH("C11102",Turmas!$M:$M,0))&amp;" | "&amp;INDEX(Turmas!$L:$L,MATCH("C11102",Turmas!$M:$M,0))&amp;" | "&amp;"C11102"&amp;"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INDEX(Turmas!$K:$K,MATCH("C12101",Turmas!$M:$M,0))&amp;" | "&amp;INDEX(Turmas!$L:$L,MATCH("C12101",Turmas!$M:$M,0))&amp;" | "&amp;"C12101"&amp;"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INDEX(Turmas!$K:$K,MATCH("C12102",Turmas!$M:$M,0))&amp;" | "&amp;INDEX(Turmas!$L:$L,MATCH("C12102",Turmas!$M:$M,0))&amp;" | "&amp;"C12102"&amp;"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INDEX(Turmas!$K:$K,MATCH("C13101",Turmas!$M:$M,0))&amp;" | "&amp;INDEX(Turmas!$L:$L,MATCH("C13101",Turmas!$M:$M,0))&amp;" | "&amp;"C13101"&amp;"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INDEX(Turmas!$K:$K,MATCH("C13102",Turmas!$M:$M,0))&amp;" | "&amp;INDEX(Turmas!$L:$L,MATCH("C13102",Turmas!$M:$M,0))&amp;" | "&amp;"C13102"&amp;"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INDEX(Turmas!$K:$K,MATCH("C21101",Turmas!$M:$M,0))&amp;" | "&amp;INDEX(Turmas!$L:$L,MATCH("C21101",Turmas!$M:$M,0))&amp;" | "&amp;"C21101"&amp;"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INDEX(Turmas!$K:$K,MATCH("C21102",Turmas!$M:$M,0))&amp;" | "&amp;INDEX(Turmas!$L:$L,MATCH("C21102",Turmas!$M:$M,0))&amp;" | "&amp;"C21102"&amp;"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INDEX(Turmas!$K:$K,MATCH("C22101",Turmas!$M:$M,0))&amp;" | "&amp;INDEX(Turmas!$L:$L,MATCH("C22101",Turmas!$M:$M,0))&amp;" | "&amp;"C22101"&amp;"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INDEX(Turmas!$K:$K,MATCH("C22102",Turmas!$M:$M,0))&amp;" | "&amp;INDEX(Turmas!$L:$L,MATCH("C22102",Turmas!$M:$M,0))&amp;" | "&amp;"C22102"&amp;"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INDEX(Turmas!$K:$K,MATCH("C31301",Turmas!$M:$M,0))&amp;" | "&amp;INDEX(Turmas!$L:$L,MATCH("C31301",Turmas!$M:$M,0))&amp;" | "&amp;"C31301"&amp;"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INDEX(Turmas!$K:$K,MATCH("C31302",Turmas!$M:$M,0))&amp;" | "&amp;INDEX(Turmas!$L:$L,MATCH("C31302",Turmas!$M:$M,0))&amp;" | "&amp;"C31302"&amp;"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INDEX(Turmas!$K:$K,MATCH("C32301",Turmas!$M:$M,0))&amp;" | "&amp;INDEX(Turmas!$L:$L,MATCH("C32301",Turmas!$M:$M,0))&amp;" | "&amp;"C32301"&amp;"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INDEX(Turmas!$K:$K,MATCH("C32302",Turmas!$M:$M,0))&amp;" | "&amp;INDEX(Turmas!$L:$L,MATCH("C32302",Turmas!$M:$M,0))&amp;" | "&amp;"C32302"&amp;"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INDEX(Turmas!$K:$K,MATCH("C41301",Turmas!$M:$M,0))&amp;" | "&amp;INDEX(Turmas!$L:$L,MATCH("C41301",Turmas!$M:$M,0))&amp;" | "&amp;"C41301"&amp;"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INDEX(Turmas!$K:$K,MATCH("C41302",Turmas!$M:$M,0))&amp;" | "&amp;INDEX(Turmas!$L:$L,MATCH("C41302",Turmas!$M:$M,0))&amp;" | "&amp;"C41302"&amp;"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INDEX(Turmas!$K:$K,MATCH("C41303",Turmas!$M:$M,0))&amp;" | "&amp;INDEX(Turmas!$L:$L,MATCH("C41303",Turmas!$M:$M,0))&amp;" | "&amp;"C41303"&amp;"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INDEX(Turmas!$K:$K,MATCH("C42301",Turmas!$M:$M,0))&amp;" | "&amp;INDEX(Turmas!$L:$L,MATCH("C42301",Turmas!$M:$M,0))&amp;" | "&amp;"C42301"&amp;"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0" workbookViewId="0">
      <selection activeCell="A1" sqref="A1"/>
    </sheetView>
  </sheetViews>
  <sheetFormatPr baseColWidth="8" defaultRowHeight="15"/>
  <cols>
    <col width="60.7109375" customWidth="1" style="3" min="1" max="1"/>
    <col width="15.7109375" customWidth="1" style="3" min="2" max="2"/>
    <col width="20.7109375" customWidth="1" style="3" min="3" max="3"/>
    <col width="10.7109375" customWidth="1" style="3" min="4" max="4"/>
    <col width="40.7109375" customWidth="1" style="3" min="5" max="5"/>
    <col width="30.7109375" customWidth="1" style="3" min="6" max="6"/>
  </cols>
  <sheetData>
    <row r="1" ht="21" customHeight="1">
      <c r="A1" s="30">
        <f>INDEX(Turmas!$K:$K,MATCH("C42302",Turmas!$M:$M,0))&amp;" | "&amp;INDEX(Turmas!$L:$L,MATCH("C42302",Turmas!$M:$M,0))&amp;" | "&amp;"C42302"&amp;" / "&amp;IF((COUNTIF(B3:B71,"Não conforme")+COUNTIF(B3:B71,"Não avaliado"))&gt;0,(COUNTIF(B3:B71,"Não conforme")+COUNTIF(B3:B71,"Não avaliado"))&amp;" itens pendentes","Checklist Conforme")</f>
        <v/>
      </c>
      <c r="B1" s="36" t="n"/>
      <c r="C1" s="36" t="n"/>
      <c r="D1" s="36" t="n"/>
      <c r="E1" s="36" t="n"/>
      <c r="F1" s="35" t="n"/>
    </row>
    <row r="2">
      <c r="A2" s="1" t="inlineStr">
        <is>
          <t>Checagem de Documentos Institucionais</t>
        </is>
      </c>
      <c r="B2" s="1" t="inlineStr">
        <is>
          <t>Situação</t>
        </is>
      </c>
      <c r="C2" s="1" t="inlineStr">
        <is>
          <t>Ultima Atualização</t>
        </is>
      </c>
      <c r="D2" s="1" t="inlineStr">
        <is>
          <t>Prazo</t>
        </is>
      </c>
      <c r="E2" s="1" t="inlineStr">
        <is>
          <t>Responsável</t>
        </is>
      </c>
      <c r="F2" s="1" t="inlineStr">
        <is>
          <t>Observação</t>
        </is>
      </c>
    </row>
    <row r="3">
      <c r="A3" s="4" t="inlineStr">
        <is>
          <t>Ato de criação da escola</t>
        </is>
      </c>
      <c r="B3" s="4" t="inlineStr">
        <is>
          <t>Não avaliado</t>
        </is>
      </c>
      <c r="C3" s="4" t="n"/>
      <c r="D3" s="4" t="n"/>
      <c r="E3" s="2" t="inlineStr">
        <is>
          <t>ROSEANE CONCEIÇÃO COUTO VOGADO</t>
        </is>
      </c>
      <c r="F3" s="4" t="n"/>
    </row>
    <row r="4">
      <c r="A4" s="7" t="inlineStr">
        <is>
          <t>Recibo do Censo Escolar (Autorização)</t>
        </is>
      </c>
      <c r="B4" s="7" t="inlineStr">
        <is>
          <t>Não avaliado</t>
        </is>
      </c>
      <c r="C4" s="8" t="n"/>
      <c r="D4" s="8" t="n"/>
      <c r="E4" s="8" t="inlineStr">
        <is>
          <t>ROSEANE CONCEIÇÃO COUTO VOGADO</t>
        </is>
      </c>
      <c r="F4" s="8" t="n"/>
    </row>
    <row r="5">
      <c r="A5" s="5" t="inlineStr">
        <is>
          <t>Ato de autorização, credenciamento ou reconhecimento</t>
        </is>
      </c>
      <c r="B5" s="4" t="inlineStr">
        <is>
          <t>Não avaliado</t>
        </is>
      </c>
      <c r="C5" s="4" t="n"/>
      <c r="D5" s="4" t="n"/>
      <c r="E5" s="2" t="inlineStr">
        <is>
          <t>ROSEANE CONCEIÇÃO COUTO VOGADO</t>
        </is>
      </c>
      <c r="F5" s="2" t="n"/>
    </row>
    <row r="6">
      <c r="A6" s="7" t="inlineStr">
        <is>
          <t>Regimento Escolar atualizado</t>
        </is>
      </c>
      <c r="B6" s="7" t="inlineStr">
        <is>
          <t>Não avaliado</t>
        </is>
      </c>
      <c r="C6" s="7" t="n"/>
      <c r="D6" s="7" t="n"/>
      <c r="E6" s="8" t="inlineStr">
        <is>
          <t>ROSEANE CONCEIÇÃO COUTO VOGADO</t>
        </is>
      </c>
      <c r="F6" s="8" t="n"/>
    </row>
    <row r="7">
      <c r="A7" s="4" t="inlineStr">
        <is>
          <t>Projeto Político-Pedagógico (PPP)</t>
        </is>
      </c>
      <c r="B7" s="4" t="inlineStr">
        <is>
          <t>Não avaliado</t>
        </is>
      </c>
      <c r="C7" s="4" t="n"/>
      <c r="D7" s="4" t="n"/>
      <c r="E7" s="2" t="inlineStr">
        <is>
          <t>ROSEANE CONCEIÇÃO COUTO VOGADO</t>
        </is>
      </c>
      <c r="F7" s="2" t="n"/>
    </row>
    <row r="8">
      <c r="A8" s="7" t="inlineStr">
        <is>
          <t>Calendário Escolar vigente</t>
        </is>
      </c>
      <c r="B8" s="7" t="inlineStr">
        <is>
          <t>Não avaliado</t>
        </is>
      </c>
      <c r="C8" s="7" t="n"/>
      <c r="D8" s="7" t="n"/>
      <c r="E8" s="8" t="inlineStr">
        <is>
          <t>ROSEANE CONCEIÇÃO COUTO VOGADO</t>
        </is>
      </c>
      <c r="F8" s="8" t="n"/>
    </row>
    <row r="9">
      <c r="A9" s="4" t="inlineStr">
        <is>
          <t>Matriz curricular, inclusive cursos técnicos</t>
        </is>
      </c>
      <c r="B9" s="4" t="inlineStr">
        <is>
          <t>Não avaliado</t>
        </is>
      </c>
      <c r="C9" s="4" t="n"/>
      <c r="D9" s="4" t="n"/>
      <c r="E9" s="2" t="inlineStr">
        <is>
          <t>ROSEANE CONCEIÇÃO COUTO VOGADO</t>
        </is>
      </c>
      <c r="F9" s="2" t="n"/>
    </row>
    <row r="10">
      <c r="A10" s="1" t="inlineStr">
        <is>
          <t>Checagem de Documentos de Secretaria Escolar</t>
        </is>
      </c>
      <c r="B10" s="1" t="inlineStr">
        <is>
          <t>Situação</t>
        </is>
      </c>
      <c r="C10" s="1" t="inlineStr">
        <is>
          <t>Ultima Atualização</t>
        </is>
      </c>
      <c r="D10" s="1" t="inlineStr">
        <is>
          <t>Prazo</t>
        </is>
      </c>
      <c r="E10" s="1" t="inlineStr">
        <is>
          <t>Responsável</t>
        </is>
      </c>
      <c r="F10" s="1" t="inlineStr">
        <is>
          <t>Observação</t>
        </is>
      </c>
    </row>
    <row r="11">
      <c r="A11" s="4" t="inlineStr">
        <is>
          <t>Livro/Pasta de Matrícula dos Alunos</t>
        </is>
      </c>
      <c r="B11" s="4" t="inlineStr">
        <is>
          <t>Não avaliado</t>
        </is>
      </c>
      <c r="C11" s="2" t="n"/>
      <c r="D11" s="2" t="n"/>
      <c r="E11" s="2" t="inlineStr">
        <is>
          <t>ROSEANE CONCEIÇÃO COUTO VOGADO</t>
        </is>
      </c>
      <c r="F11" s="2" t="n"/>
    </row>
    <row r="12">
      <c r="A12" s="7" t="inlineStr">
        <is>
          <t>Livro de Atas — resultados finais, Conselho de Classe, reuniões e outros</t>
        </is>
      </c>
      <c r="B12" s="7" t="inlineStr">
        <is>
          <t>Não avaliado</t>
        </is>
      </c>
      <c r="C12" s="8" t="n"/>
      <c r="D12" s="8" t="n"/>
      <c r="E12" s="8" t="inlineStr">
        <is>
          <t>ROSEANE CONCEIÇÃO COUTO VOGADO</t>
        </is>
      </c>
      <c r="F12" s="8" t="n"/>
    </row>
    <row r="13">
      <c r="A13" s="4" t="inlineStr">
        <is>
          <t>Livro de Registro de Diplomas e Certificados, quando aplicável</t>
        </is>
      </c>
      <c r="B13" s="4" t="inlineStr">
        <is>
          <t>Não avaliado</t>
        </is>
      </c>
      <c r="C13" s="2" t="n"/>
      <c r="D13" s="2" t="n"/>
      <c r="E13" s="2" t="inlineStr">
        <is>
          <t>ROSEANE CONCEIÇÃO COUTO VOGADO</t>
        </is>
      </c>
      <c r="F13" s="2" t="n"/>
    </row>
    <row r="14">
      <c r="A14" s="7" t="inlineStr">
        <is>
          <t>Protocolos de entrada e saída de documentos</t>
        </is>
      </c>
      <c r="B14" s="7" t="inlineStr">
        <is>
          <t>Não avaliado</t>
        </is>
      </c>
      <c r="C14" s="8" t="n"/>
      <c r="D14" s="8" t="n"/>
      <c r="E14" s="8" t="inlineStr">
        <is>
          <t>ROSEANE CONCEIÇÃO COUTO VOGADO</t>
        </is>
      </c>
      <c r="F14" s="8" t="n"/>
    </row>
    <row r="15">
      <c r="A15" s="4" t="inlineStr">
        <is>
          <t>Arquivo ativo e arquivo permanente organizados</t>
        </is>
      </c>
      <c r="B15" s="4" t="inlineStr">
        <is>
          <t>Não avaliado</t>
        </is>
      </c>
      <c r="C15" s="2" t="n"/>
      <c r="D15" s="2" t="n"/>
      <c r="E15" s="2" t="inlineStr">
        <is>
          <t>ROSEANE CONCEIÇÃO COUTO VOGADO</t>
        </is>
      </c>
      <c r="F15" s="2" t="n"/>
    </row>
    <row r="16">
      <c r="A16" s="7" t="inlineStr">
        <is>
          <t>Relação nominal dos estudantes</t>
        </is>
      </c>
      <c r="B16" s="7" t="inlineStr">
        <is>
          <t>Não avaliado</t>
        </is>
      </c>
      <c r="C16" s="8" t="n"/>
      <c r="D16" s="8" t="n"/>
      <c r="E16" s="8" t="inlineStr">
        <is>
          <t>ROSEANE CONCEIÇÃO COUTO VOGADO</t>
        </is>
      </c>
      <c r="F16" s="8" t="n"/>
    </row>
    <row r="17">
      <c r="A17" s="4" t="inlineStr">
        <is>
          <t>Correspondências Oficiais</t>
        </is>
      </c>
      <c r="B17" s="4" t="inlineStr">
        <is>
          <t>Não avaliado</t>
        </is>
      </c>
      <c r="C17" s="2" t="n"/>
      <c r="D17" s="2" t="n"/>
      <c r="E17" s="2" t="inlineStr">
        <is>
          <t>ROSEANE CONCEIÇÃO COUTO VOGADO</t>
        </is>
      </c>
      <c r="F17" s="2" t="n"/>
    </row>
    <row r="18">
      <c r="A18" s="7" t="inlineStr">
        <is>
          <t>Inventário</t>
        </is>
      </c>
      <c r="B18" s="7" t="inlineStr">
        <is>
          <t>Não avaliado</t>
        </is>
      </c>
      <c r="C18" s="8" t="n"/>
      <c r="D18" s="8" t="n"/>
      <c r="E18" s="8" t="inlineStr">
        <is>
          <t>ROSEANE CONCEIÇÃO COUTO VOGADO</t>
        </is>
      </c>
      <c r="F18" s="8" t="n"/>
    </row>
    <row r="19">
      <c r="A19" s="1" t="inlineStr">
        <is>
          <t>Checagem de Documentos dos Alunos</t>
        </is>
      </c>
      <c r="B19" s="1" t="inlineStr">
        <is>
          <t>Situação</t>
        </is>
      </c>
      <c r="C19" s="1" t="inlineStr">
        <is>
          <t>Ultima Atualização</t>
        </is>
      </c>
      <c r="D19" s="1" t="inlineStr">
        <is>
          <t>Prazo</t>
        </is>
      </c>
      <c r="E19" s="1" t="inlineStr">
        <is>
          <t>Responsável</t>
        </is>
      </c>
      <c r="F19" s="1" t="inlineStr">
        <is>
          <t>Observação</t>
        </is>
      </c>
    </row>
    <row r="20">
      <c r="A20" s="4" t="inlineStr">
        <is>
          <t>Fichas de matrícula impressas pelo SIGA e assinadas pelo responsável</t>
        </is>
      </c>
      <c r="B20" s="4" t="inlineStr">
        <is>
          <t>Não avaliado</t>
        </is>
      </c>
      <c r="C20" s="2" t="n"/>
      <c r="D20" s="2" t="n"/>
      <c r="E20" s="2" t="inlineStr">
        <is>
          <t>ROSEANE CONCEIÇÃO COUTO VOGADO</t>
        </is>
      </c>
      <c r="F20" s="2" t="n"/>
    </row>
    <row r="21">
      <c r="A21" s="7" t="inlineStr">
        <is>
          <t>Histórico Escolar</t>
        </is>
      </c>
      <c r="B21" s="7" t="inlineStr">
        <is>
          <t>Não avaliado</t>
        </is>
      </c>
      <c r="C21" s="8" t="n"/>
      <c r="D21" s="8" t="n"/>
      <c r="E21" s="8" t="inlineStr">
        <is>
          <t>ROSEANE CONCEIÇÃO COUTO VOGADO</t>
        </is>
      </c>
      <c r="F21" s="8" t="n"/>
    </row>
    <row r="22">
      <c r="A22" s="4" t="inlineStr">
        <is>
          <t>Pasta Individual</t>
        </is>
      </c>
      <c r="B22" s="4" t="inlineStr">
        <is>
          <t>Não avaliado</t>
        </is>
      </c>
      <c r="C22" s="2" t="n"/>
      <c r="D22" s="2" t="n"/>
      <c r="E22" s="2" t="inlineStr">
        <is>
          <t>ROSEANE CONCEIÇÃO COUTO VOGADO</t>
        </is>
      </c>
      <c r="F22" s="2" t="n"/>
    </row>
    <row r="23">
      <c r="A23" s="7" t="inlineStr">
        <is>
          <t>Registro Síntese</t>
        </is>
      </c>
      <c r="B23" s="7" t="inlineStr">
        <is>
          <t>Não avaliado</t>
        </is>
      </c>
      <c r="C23" s="8" t="n"/>
      <c r="D23" s="8" t="n"/>
      <c r="E23" s="8" t="inlineStr">
        <is>
          <t>ROSEANE CONCEIÇÃO COUTO VOGADO</t>
        </is>
      </c>
      <c r="F23" s="8" t="n"/>
    </row>
    <row r="24">
      <c r="A24" s="4" t="inlineStr">
        <is>
          <t>Declarações de transferência emitidas pelo SIGA</t>
        </is>
      </c>
      <c r="B24" s="4" t="inlineStr">
        <is>
          <t>Não avaliado</t>
        </is>
      </c>
      <c r="C24" s="2" t="n"/>
      <c r="D24" s="2" t="n"/>
      <c r="E24" s="2" t="inlineStr">
        <is>
          <t>ROSEANE CONCEIÇÃO COUTO VOGADO</t>
        </is>
      </c>
      <c r="F24" s="2" t="n"/>
    </row>
    <row r="25">
      <c r="A25" s="7" t="inlineStr">
        <is>
          <t>Certificados e declarações emitidos</t>
        </is>
      </c>
      <c r="B25" s="7" t="inlineStr">
        <is>
          <t>Não avaliado</t>
        </is>
      </c>
      <c r="C25" s="8" t="n"/>
      <c r="D25" s="8" t="n"/>
      <c r="E25" s="8" t="inlineStr">
        <is>
          <t>ROSEANE CONCEIÇÃO COUTO VOGADO</t>
        </is>
      </c>
      <c r="F25" s="8" t="n"/>
    </row>
    <row r="26">
      <c r="A26" s="4" t="inlineStr">
        <is>
          <t>Documentos pessoais do aluno e do responsável</t>
        </is>
      </c>
      <c r="B26" s="4" t="inlineStr">
        <is>
          <t>Não avaliado</t>
        </is>
      </c>
      <c r="C26" s="2" t="n"/>
      <c r="D26" s="2" t="n"/>
      <c r="E26" s="2" t="inlineStr">
        <is>
          <t>ROSEANE CONCEIÇÃO COUTO VOGADO</t>
        </is>
      </c>
      <c r="F26" s="2" t="n"/>
    </row>
    <row r="27">
      <c r="A27" s="7" t="inlineStr">
        <is>
          <t>Ficha de Cancelamento/Transferência de Matrícula</t>
        </is>
      </c>
      <c r="B27" s="7" t="inlineStr">
        <is>
          <t>Não avaliado</t>
        </is>
      </c>
      <c r="C27" s="8" t="n"/>
      <c r="D27" s="8" t="n"/>
      <c r="E27" s="8" t="inlineStr">
        <is>
          <t>ROSEANE CONCEIÇÃO COUTO VOGADO</t>
        </is>
      </c>
      <c r="F27" s="8" t="n"/>
    </row>
    <row r="28">
      <c r="A28" s="4" t="inlineStr">
        <is>
          <t>Controle de frequência no SIGA</t>
        </is>
      </c>
      <c r="B28" s="9" t="inlineStr">
        <is>
          <t>Não avaliado</t>
        </is>
      </c>
      <c r="C28" s="2" t="n"/>
      <c r="D28" s="2" t="n"/>
      <c r="E28" s="2" t="inlineStr">
        <is>
          <t>ROSEANE CONCEIÇÃO COUTO VOGADO</t>
        </is>
      </c>
      <c r="F28" s="2" t="n"/>
    </row>
    <row r="29">
      <c r="A29" s="1" t="inlineStr">
        <is>
          <t>Checagem de Documentos dos Servidores</t>
        </is>
      </c>
      <c r="B29" s="1" t="inlineStr">
        <is>
          <t>Situação</t>
        </is>
      </c>
      <c r="C29" s="1" t="inlineStr">
        <is>
          <t>Ultima Atualização</t>
        </is>
      </c>
      <c r="D29" s="1" t="inlineStr">
        <is>
          <t>Prazo</t>
        </is>
      </c>
      <c r="E29" s="1" t="inlineStr">
        <is>
          <t>Responsável</t>
        </is>
      </c>
      <c r="F29" s="1" t="inlineStr">
        <is>
          <t>Observação</t>
        </is>
      </c>
    </row>
    <row r="30">
      <c r="A30" s="4" t="inlineStr">
        <is>
          <t>Relação atualizada dos profissionais</t>
        </is>
      </c>
      <c r="B30" s="4" t="inlineStr">
        <is>
          <t>Não avaliado</t>
        </is>
      </c>
      <c r="C30" s="2" t="n"/>
      <c r="D30" s="2" t="n"/>
      <c r="E30" s="2" t="inlineStr">
        <is>
          <t>ROSEANE CONCEIÇÃO COUTO VOGADO</t>
        </is>
      </c>
      <c r="F30" s="2" t="n"/>
    </row>
    <row r="31">
      <c r="A31" s="7" t="inlineStr">
        <is>
          <t>Portarias de lotação ou designação</t>
        </is>
      </c>
      <c r="B31" s="7" t="inlineStr">
        <is>
          <t>Não avaliado</t>
        </is>
      </c>
      <c r="C31" s="8" t="n"/>
      <c r="D31" s="8" t="n"/>
      <c r="E31" s="8" t="inlineStr">
        <is>
          <t>ROSEANE CONCEIÇÃO COUTO VOGADO</t>
        </is>
      </c>
      <c r="F31" s="8" t="n"/>
    </row>
    <row r="32">
      <c r="A32" s="4" t="inlineStr">
        <is>
          <t>Comprovação da habilitação dos docentes</t>
        </is>
      </c>
      <c r="B32" s="4" t="inlineStr">
        <is>
          <t>Não avaliado</t>
        </is>
      </c>
      <c r="C32" s="2" t="n"/>
      <c r="D32" s="2" t="n"/>
      <c r="E32" s="2" t="inlineStr">
        <is>
          <t>ROSEANE CONCEIÇÃO COUTO VOGADO</t>
        </is>
      </c>
      <c r="F32" s="2" t="n"/>
    </row>
    <row r="33">
      <c r="A33" s="7" t="inlineStr">
        <is>
          <t>Controle de frequência dos servidores</t>
        </is>
      </c>
      <c r="B33" s="7" t="inlineStr">
        <is>
          <t>Não avaliado</t>
        </is>
      </c>
      <c r="C33" s="8" t="n"/>
      <c r="D33" s="8" t="n"/>
      <c r="E33" s="8" t="inlineStr">
        <is>
          <t>ROSEANE CONCEIÇÃO COUTO VOGADO</t>
        </is>
      </c>
      <c r="F33" s="8" t="n"/>
    </row>
    <row r="34">
      <c r="A34" s="4" t="inlineStr">
        <is>
          <t>Afastamentos dos servidores — licenças e documentos médicos</t>
        </is>
      </c>
      <c r="B34" s="4" t="inlineStr">
        <is>
          <t>Não avaliado</t>
        </is>
      </c>
      <c r="C34" s="2" t="n"/>
      <c r="D34" s="2" t="n"/>
      <c r="E34" s="2" t="inlineStr">
        <is>
          <t>ROSEANE CONCEIÇÃO COUTO VOGADO</t>
        </is>
      </c>
      <c r="F34" s="2" t="n"/>
    </row>
    <row r="35">
      <c r="A35" s="1" t="inlineStr">
        <is>
          <t>Checagem de Documentos dos Administrativos</t>
        </is>
      </c>
      <c r="B35" s="1" t="inlineStr">
        <is>
          <t>Situação</t>
        </is>
      </c>
      <c r="C35" s="1" t="inlineStr">
        <is>
          <t>Ultima Atualização</t>
        </is>
      </c>
      <c r="D35" s="1" t="inlineStr">
        <is>
          <t>Prazo</t>
        </is>
      </c>
      <c r="E35" s="1" t="inlineStr">
        <is>
          <t>Responsável</t>
        </is>
      </c>
      <c r="F35" s="1" t="inlineStr">
        <is>
          <t>Observação</t>
        </is>
      </c>
    </row>
    <row r="36">
      <c r="A36" s="4" t="inlineStr">
        <is>
          <t>Censo Escolar</t>
        </is>
      </c>
      <c r="B36" s="4" t="inlineStr">
        <is>
          <t>Não avaliado</t>
        </is>
      </c>
      <c r="C36" s="2" t="n"/>
      <c r="D36" s="2" t="n"/>
      <c r="E36" s="2" t="inlineStr">
        <is>
          <t>ROSEANE CONCEIÇÃO COUTO VOGADO</t>
        </is>
      </c>
      <c r="F36" s="2" t="n"/>
    </row>
    <row r="37">
      <c r="A37" s="7" t="inlineStr">
        <is>
          <t>Relação nominal dos estudantes</t>
        </is>
      </c>
      <c r="B37" s="7" t="inlineStr">
        <is>
          <t>Não avaliado</t>
        </is>
      </c>
      <c r="C37" s="8" t="n"/>
      <c r="D37" s="8" t="n"/>
      <c r="E37" s="8" t="inlineStr">
        <is>
          <t>ROSEANE CONCEIÇÃO COUTO VOGADO</t>
        </is>
      </c>
      <c r="F37" s="8" t="n"/>
    </row>
    <row r="38">
      <c r="A38" s="4" t="inlineStr">
        <is>
          <t>Relatórios estatísticos</t>
        </is>
      </c>
      <c r="B38" s="4" t="inlineStr">
        <is>
          <t>Não avaliado</t>
        </is>
      </c>
      <c r="C38" s="2" t="n"/>
      <c r="D38" s="2" t="n"/>
      <c r="E38" s="2" t="inlineStr">
        <is>
          <t>ROSEANE CONCEIÇÃO COUTO VOGADO</t>
        </is>
      </c>
      <c r="F38" s="2" t="n"/>
    </row>
    <row r="39">
      <c r="A39" s="7" t="inlineStr">
        <is>
          <t>Correspondências oficiais</t>
        </is>
      </c>
      <c r="B39" s="7" t="inlineStr">
        <is>
          <t>Não avaliado</t>
        </is>
      </c>
      <c r="C39" s="8" t="n"/>
      <c r="D39" s="8" t="n"/>
      <c r="E39" s="8" t="inlineStr">
        <is>
          <t>ROSEANE CONCEIÇÃO COUTO VOGADO</t>
        </is>
      </c>
      <c r="F39" s="8" t="n"/>
    </row>
    <row r="40">
      <c r="A40" s="4" t="inlineStr">
        <is>
          <t>Livros de protocolo</t>
        </is>
      </c>
      <c r="B40" s="4" t="inlineStr">
        <is>
          <t>Não avaliado</t>
        </is>
      </c>
      <c r="C40" s="2" t="n"/>
      <c r="D40" s="2" t="n"/>
      <c r="E40" s="2" t="inlineStr">
        <is>
          <t>ROSEANE CONCEIÇÃO COUTO VOGADO</t>
        </is>
      </c>
      <c r="F40" s="2" t="n"/>
    </row>
    <row r="41">
      <c r="B41" s="6" t="n"/>
    </row>
  </sheetData>
  <mergeCells count="1">
    <mergeCell ref="A1:F1"/>
  </mergeCells>
  <conditionalFormatting sqref="A1:F1">
    <cfRule type="containsText" priority="25" operator="containsText" dxfId="0" text="pendente">
      <formula>NOT(ISERROR(SEARCH("pendente",A1)))</formula>
    </cfRule>
  </conditionalFormatting>
  <conditionalFormatting sqref="B3:B9">
    <cfRule type="containsText" priority="14" operator="containsText" dxfId="0" text="Não avaliado">
      <formula>NOT(ISERROR(SEARCH("Não avaliado",B3)))</formula>
    </cfRule>
    <cfRule type="containsText" priority="12" operator="containsText" dxfId="0" text="Não conforme">
      <formula>NOT(ISERROR(SEARCH("Não conforme",B3)))</formula>
    </cfRule>
  </conditionalFormatting>
  <conditionalFormatting sqref="B11:B18">
    <cfRule type="containsText" priority="13" operator="containsText" dxfId="0" text="Não conforme">
      <formula>NOT(ISERROR(SEARCH("Não conforme",B11)))</formula>
    </cfRule>
    <cfRule type="containsText" priority="11" operator="containsText" dxfId="0" text="Não avaliado">
      <formula>NOT(ISERROR(SEARCH("Não avaliado",B11)))</formula>
    </cfRule>
  </conditionalFormatting>
  <conditionalFormatting sqref="B20:B28">
    <cfRule type="containsText" priority="10" operator="containsText" dxfId="0" text="Não avaliado">
      <formula>NOT(ISERROR(SEARCH("Não avaliado",B20)))</formula>
    </cfRule>
    <cfRule type="containsText" priority="9" operator="containsText" dxfId="0" text="Não conforme">
      <formula>NOT(ISERROR(SEARCH("Não conforme",B20)))</formula>
    </cfRule>
  </conditionalFormatting>
  <conditionalFormatting sqref="B30:B34">
    <cfRule type="containsText" priority="8" operator="containsText" dxfId="0" text="Não conforme">
      <formula>NOT(ISERROR(SEARCH("Não conforme",B30)))</formula>
    </cfRule>
    <cfRule type="containsText" priority="7" operator="containsText" dxfId="0" text="Não avaliado">
      <formula>NOT(ISERROR(SEARCH("Não avaliado",B30)))</formula>
    </cfRule>
  </conditionalFormatting>
  <conditionalFormatting sqref="B36:B40">
    <cfRule type="containsText" priority="6" operator="containsText" dxfId="0" text="Não conforme">
      <formula>NOT(ISERROR(SEARCH("Não conforme",B36)))</formula>
    </cfRule>
    <cfRule type="containsText" priority="5" operator="containsText" dxfId="0" text="Não avaliado">
      <formula>NOT(ISERROR(SEARCH("Não avaliado",B36)))</formula>
    </cfRule>
  </conditionalFormatting>
  <dataValidations count="2">
    <dataValidation sqref="B3:B9 B11:B18 B20:B28 B30:B34 B36:B40" showDropDown="0" showInputMessage="0" showErrorMessage="0" allowBlank="1" type="list">
      <formula1>"Conforme,Não conforme,Não se aplica,Não avaliado"</formula1>
    </dataValidation>
    <dataValidation sqref="E3:E9 E11:E18 E20:E28 E30:E34 E36:E40" showDropDown="0" showInputMessage="0" showErrorMessage="0" allowBlank="1" type="list">
      <formula1>=Unidade!$B$19:$B$20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2026-10-15T11:41:29Z</dcterms:created>
  <dcterms:modified xmlns:dcterms="http://purl.org/dc/terms/" xmlns:xsi="http://www.w3.org/2001/XMLSchema-instance" xsi:type="dcterms:W3CDTF">2026-10-16T12:02:02Z</dcterms:modified>
</cp:coreProperties>
</file>